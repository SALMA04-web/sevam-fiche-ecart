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19200" windowHeight="6350"/>
  </bookViews>
  <sheets>
    <sheet name="Septembre 25" sheetId="12" r:id="rId1"/>
    <sheet name="Aout 25" sheetId="11" r:id="rId2"/>
    <sheet name="Juillet 25  " sheetId="10" r:id="rId3"/>
    <sheet name="Juin 25 " sheetId="9" r:id="rId4"/>
    <sheet name="Mai 25" sheetId="8" r:id="rId5"/>
    <sheet name="Avril 25 " sheetId="7" r:id="rId6"/>
    <sheet name="Mars 25" sheetId="6" r:id="rId7"/>
    <sheet name="Février 25" sheetId="4" r:id="rId8"/>
    <sheet name="Janvier 25" sheetId="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4" i="7" l="1"/>
  <c r="AI4" i="3"/>
  <c r="AK5" i="12"/>
  <c r="AK6" i="12"/>
  <c r="AK7" i="12"/>
  <c r="AK8" i="12"/>
  <c r="AK9" i="12"/>
  <c r="AK10" i="12"/>
  <c r="AK11" i="12"/>
  <c r="AK13" i="12"/>
  <c r="AK4" i="12"/>
  <c r="AQ4" i="12" l="1"/>
  <c r="AH4" i="12" l="1"/>
  <c r="AM4" i="12" s="1"/>
  <c r="AQ5" i="12" l="1"/>
  <c r="AL5" i="11"/>
  <c r="AL4" i="11"/>
  <c r="AI4" i="12"/>
  <c r="AL4" i="12" s="1"/>
  <c r="AN11" i="12" l="1"/>
  <c r="AQ11" i="12" s="1"/>
  <c r="AE11" i="12"/>
  <c r="AD11" i="12"/>
  <c r="AC11" i="12"/>
  <c r="AB11" i="12"/>
  <c r="AA11" i="12"/>
  <c r="Z11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B11" i="12"/>
  <c r="AQ10" i="12"/>
  <c r="AI10" i="12"/>
  <c r="AL10" i="12" s="1"/>
  <c r="AH10" i="12"/>
  <c r="AM10" i="12" s="1"/>
  <c r="AP10" i="12" s="1"/>
  <c r="AQ9" i="12"/>
  <c r="AI9" i="12"/>
  <c r="AL9" i="12" s="1"/>
  <c r="AH9" i="12"/>
  <c r="AM9" i="12" s="1"/>
  <c r="AQ8" i="12"/>
  <c r="AI8" i="12"/>
  <c r="AH8" i="12"/>
  <c r="AM8" i="12" s="1"/>
  <c r="AN7" i="12"/>
  <c r="AQ7" i="12" s="1"/>
  <c r="AE7" i="12"/>
  <c r="AD7" i="12"/>
  <c r="AC7" i="12"/>
  <c r="AB7" i="12"/>
  <c r="AA7" i="12"/>
  <c r="Z7" i="12"/>
  <c r="Y7" i="12"/>
  <c r="X7" i="12"/>
  <c r="W7" i="12"/>
  <c r="V7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I13" i="12" s="1"/>
  <c r="H7" i="12"/>
  <c r="G7" i="12"/>
  <c r="F7" i="12"/>
  <c r="E7" i="12"/>
  <c r="D7" i="12"/>
  <c r="C7" i="12"/>
  <c r="B7" i="12"/>
  <c r="AQ6" i="12"/>
  <c r="AI6" i="12"/>
  <c r="AL6" i="12" s="1"/>
  <c r="AH6" i="12"/>
  <c r="AI5" i="12"/>
  <c r="AL5" i="12" s="1"/>
  <c r="AH5" i="12"/>
  <c r="AL6" i="11"/>
  <c r="AL7" i="11"/>
  <c r="AL8" i="11"/>
  <c r="AL9" i="11"/>
  <c r="AL10" i="11"/>
  <c r="AL11" i="11"/>
  <c r="AL13" i="11"/>
  <c r="AB13" i="12" l="1"/>
  <c r="T13" i="12"/>
  <c r="L13" i="12"/>
  <c r="AM5" i="12"/>
  <c r="AP5" i="12" s="1"/>
  <c r="AR5" i="12" s="1"/>
  <c r="AM6" i="12"/>
  <c r="AP6" i="12" s="1"/>
  <c r="AR6" i="12" s="1"/>
  <c r="AO4" i="12"/>
  <c r="D13" i="12"/>
  <c r="AR10" i="12"/>
  <c r="J13" i="12"/>
  <c r="B13" i="12"/>
  <c r="E13" i="12"/>
  <c r="M13" i="12"/>
  <c r="U13" i="12"/>
  <c r="AC13" i="12"/>
  <c r="AE13" i="12"/>
  <c r="AD13" i="12"/>
  <c r="AO10" i="12"/>
  <c r="X13" i="12"/>
  <c r="Q13" i="12"/>
  <c r="Y13" i="12"/>
  <c r="O13" i="12"/>
  <c r="P13" i="12"/>
  <c r="R13" i="12"/>
  <c r="Z13" i="12"/>
  <c r="F13" i="12"/>
  <c r="V13" i="12"/>
  <c r="W13" i="12"/>
  <c r="AI11" i="12"/>
  <c r="AL11" i="12" s="1"/>
  <c r="C13" i="12"/>
  <c r="K13" i="12"/>
  <c r="S13" i="12"/>
  <c r="AA13" i="12"/>
  <c r="N13" i="12"/>
  <c r="G13" i="12"/>
  <c r="H13" i="12"/>
  <c r="AP9" i="12"/>
  <c r="AR9" i="12" s="1"/>
  <c r="AO9" i="12"/>
  <c r="AM11" i="12"/>
  <c r="AP8" i="12"/>
  <c r="AR8" i="12" s="1"/>
  <c r="AO8" i="12"/>
  <c r="AI7" i="12"/>
  <c r="AL7" i="12" s="1"/>
  <c r="AH7" i="12"/>
  <c r="AN13" i="12"/>
  <c r="AQ13" i="12" s="1"/>
  <c r="AH11" i="12"/>
  <c r="AL8" i="12"/>
  <c r="AM4" i="10"/>
  <c r="AL4" i="10"/>
  <c r="AJ4" i="11"/>
  <c r="AM4" i="11" s="1"/>
  <c r="AR6" i="11"/>
  <c r="AR8" i="11"/>
  <c r="AR9" i="11"/>
  <c r="AR10" i="11"/>
  <c r="AR5" i="11"/>
  <c r="AR4" i="11"/>
  <c r="AF7" i="11"/>
  <c r="AF11" i="11"/>
  <c r="AO11" i="11"/>
  <c r="AR11" i="11" s="1"/>
  <c r="AE11" i="11"/>
  <c r="AD11" i="11"/>
  <c r="AD13" i="11" s="1"/>
  <c r="AC11" i="11"/>
  <c r="AB11" i="11"/>
  <c r="AA11" i="11"/>
  <c r="Z11" i="11"/>
  <c r="Y11" i="11"/>
  <c r="X11" i="11"/>
  <c r="W11" i="11"/>
  <c r="V11" i="11"/>
  <c r="V13" i="11" s="1"/>
  <c r="U11" i="11"/>
  <c r="T11" i="11"/>
  <c r="S11" i="11"/>
  <c r="R11" i="11"/>
  <c r="Q11" i="11"/>
  <c r="P11" i="11"/>
  <c r="O11" i="11"/>
  <c r="N11" i="11"/>
  <c r="N13" i="11" s="1"/>
  <c r="M11" i="11"/>
  <c r="L11" i="11"/>
  <c r="K11" i="11"/>
  <c r="J11" i="11"/>
  <c r="I11" i="11"/>
  <c r="H11" i="11"/>
  <c r="G11" i="11"/>
  <c r="F11" i="11"/>
  <c r="F13" i="11" s="1"/>
  <c r="E11" i="11"/>
  <c r="D11" i="11"/>
  <c r="C11" i="11"/>
  <c r="B11" i="11"/>
  <c r="AJ10" i="11"/>
  <c r="AM10" i="11" s="1"/>
  <c r="AI10" i="11"/>
  <c r="AN10" i="11" s="1"/>
  <c r="AQ10" i="11" s="1"/>
  <c r="AJ9" i="11"/>
  <c r="AM9" i="11" s="1"/>
  <c r="AI9" i="11"/>
  <c r="AN9" i="11" s="1"/>
  <c r="AQ9" i="11" s="1"/>
  <c r="AJ8" i="11"/>
  <c r="AI8" i="11"/>
  <c r="AN8" i="11" s="1"/>
  <c r="AQ8" i="11" s="1"/>
  <c r="AO7" i="11"/>
  <c r="AR7" i="11" s="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J6" i="11"/>
  <c r="AM6" i="11" s="1"/>
  <c r="AI6" i="11"/>
  <c r="AN6" i="11" s="1"/>
  <c r="AQ6" i="11" s="1"/>
  <c r="AJ5" i="11"/>
  <c r="AM5" i="11" s="1"/>
  <c r="AI5" i="11"/>
  <c r="AN5" i="11" s="1"/>
  <c r="AQ5" i="11" s="1"/>
  <c r="AI4" i="11"/>
  <c r="AN4" i="11" s="1"/>
  <c r="AL13" i="10"/>
  <c r="AL5" i="10"/>
  <c r="AL6" i="10"/>
  <c r="AL7" i="10"/>
  <c r="AL8" i="10"/>
  <c r="AL9" i="10"/>
  <c r="AL10" i="10"/>
  <c r="AL11" i="10"/>
  <c r="AC7" i="10"/>
  <c r="AO6" i="12" l="1"/>
  <c r="AM7" i="12"/>
  <c r="AM13" i="12" s="1"/>
  <c r="AO5" i="12"/>
  <c r="AH13" i="12"/>
  <c r="AO11" i="12"/>
  <c r="AP11" i="12"/>
  <c r="AR11" i="12" s="1"/>
  <c r="AI13" i="12"/>
  <c r="AL13" i="12" s="1"/>
  <c r="AS10" i="11"/>
  <c r="AF13" i="11"/>
  <c r="AO13" i="11"/>
  <c r="AR13" i="11" s="1"/>
  <c r="J13" i="11"/>
  <c r="R13" i="11"/>
  <c r="Z13" i="11"/>
  <c r="G13" i="11"/>
  <c r="K13" i="11"/>
  <c r="AA13" i="11"/>
  <c r="C13" i="11"/>
  <c r="S13" i="11"/>
  <c r="O13" i="11"/>
  <c r="W13" i="11"/>
  <c r="AE13" i="11"/>
  <c r="AJ11" i="11"/>
  <c r="AM11" i="11" s="1"/>
  <c r="AJ7" i="11"/>
  <c r="AM7" i="11" s="1"/>
  <c r="AS9" i="11"/>
  <c r="B13" i="11"/>
  <c r="D13" i="11"/>
  <c r="L13" i="11"/>
  <c r="T13" i="11"/>
  <c r="AB13" i="11"/>
  <c r="E13" i="11"/>
  <c r="M13" i="11"/>
  <c r="U13" i="11"/>
  <c r="AC13" i="11"/>
  <c r="H13" i="11"/>
  <c r="P13" i="11"/>
  <c r="X13" i="11"/>
  <c r="I13" i="11"/>
  <c r="Q13" i="11"/>
  <c r="Y13" i="11"/>
  <c r="AN11" i="11"/>
  <c r="AQ11" i="11" s="1"/>
  <c r="AS8" i="11"/>
  <c r="AP8" i="11"/>
  <c r="AS6" i="11"/>
  <c r="AP6" i="11"/>
  <c r="AP4" i="11"/>
  <c r="AN7" i="11"/>
  <c r="AS5" i="11"/>
  <c r="AP5" i="11"/>
  <c r="AI7" i="11"/>
  <c r="AP9" i="11"/>
  <c r="AP10" i="11"/>
  <c r="AI11" i="11"/>
  <c r="AM8" i="11"/>
  <c r="AJ4" i="10"/>
  <c r="AI4" i="10"/>
  <c r="AO7" i="12" l="1"/>
  <c r="AO13" i="12"/>
  <c r="AI13" i="11"/>
  <c r="AJ13" i="11"/>
  <c r="AM13" i="11" s="1"/>
  <c r="AP7" i="11"/>
  <c r="AN13" i="11"/>
  <c r="AS11" i="11"/>
  <c r="AP11" i="11"/>
  <c r="C11" i="10"/>
  <c r="AP13" i="11" l="1"/>
  <c r="AR5" i="10"/>
  <c r="AR6" i="10"/>
  <c r="AR8" i="10"/>
  <c r="AR9" i="10"/>
  <c r="AR10" i="10"/>
  <c r="AR4" i="10"/>
  <c r="AF11" i="10"/>
  <c r="AF13" i="10" s="1"/>
  <c r="AF7" i="10"/>
  <c r="AO11" i="10"/>
  <c r="AR11" i="10" s="1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B11" i="10"/>
  <c r="AJ10" i="10"/>
  <c r="AM10" i="10" s="1"/>
  <c r="AI10" i="10"/>
  <c r="AN10" i="10" s="1"/>
  <c r="AQ10" i="10" s="1"/>
  <c r="AJ9" i="10"/>
  <c r="AM9" i="10" s="1"/>
  <c r="AI9" i="10"/>
  <c r="AN9" i="10" s="1"/>
  <c r="AQ9" i="10" s="1"/>
  <c r="AJ8" i="10"/>
  <c r="AM8" i="10" s="1"/>
  <c r="AI8" i="10"/>
  <c r="AO7" i="10"/>
  <c r="AE7" i="10"/>
  <c r="AD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J6" i="10"/>
  <c r="AM6" i="10" s="1"/>
  <c r="AI6" i="10"/>
  <c r="AN6" i="10" s="1"/>
  <c r="AQ6" i="10" s="1"/>
  <c r="AJ5" i="10"/>
  <c r="AM5" i="10" s="1"/>
  <c r="AI5" i="10"/>
  <c r="AN5" i="10" s="1"/>
  <c r="AQ5" i="10" s="1"/>
  <c r="AN4" i="10"/>
  <c r="AP4" i="10" s="1"/>
  <c r="AK13" i="9"/>
  <c r="AK11" i="9"/>
  <c r="AK9" i="9"/>
  <c r="AK10" i="9"/>
  <c r="AK8" i="9"/>
  <c r="AK7" i="9"/>
  <c r="AK5" i="9"/>
  <c r="AK6" i="9"/>
  <c r="AK4" i="9"/>
  <c r="AO13" i="10" l="1"/>
  <c r="AR13" i="10" s="1"/>
  <c r="AR7" i="10"/>
  <c r="C13" i="10"/>
  <c r="K13" i="10"/>
  <c r="S13" i="10"/>
  <c r="AA13" i="10"/>
  <c r="B13" i="10"/>
  <c r="J13" i="10"/>
  <c r="R13" i="10"/>
  <c r="Z13" i="10"/>
  <c r="D13" i="10"/>
  <c r="L13" i="10"/>
  <c r="T13" i="10"/>
  <c r="AB13" i="10"/>
  <c r="AI11" i="10"/>
  <c r="E13" i="10"/>
  <c r="M13" i="10"/>
  <c r="U13" i="10"/>
  <c r="AC13" i="10"/>
  <c r="F13" i="10"/>
  <c r="N13" i="10"/>
  <c r="V13" i="10"/>
  <c r="AD13" i="10"/>
  <c r="G13" i="10"/>
  <c r="O13" i="10"/>
  <c r="W13" i="10"/>
  <c r="AE13" i="10"/>
  <c r="H13" i="10"/>
  <c r="P13" i="10"/>
  <c r="X13" i="10"/>
  <c r="I13" i="10"/>
  <c r="Q13" i="10"/>
  <c r="Y13" i="10"/>
  <c r="AS5" i="10"/>
  <c r="AP5" i="10"/>
  <c r="AS10" i="10"/>
  <c r="AP10" i="10"/>
  <c r="AS6" i="10"/>
  <c r="AP6" i="10"/>
  <c r="AS9" i="10"/>
  <c r="AP9" i="10"/>
  <c r="AI7" i="10"/>
  <c r="AJ7" i="10"/>
  <c r="AM7" i="10" s="1"/>
  <c r="AN7" i="10"/>
  <c r="AJ11" i="10"/>
  <c r="AN8" i="10"/>
  <c r="AQ8" i="10" s="1"/>
  <c r="AI4" i="9"/>
  <c r="AL4" i="9" s="1"/>
  <c r="AI13" i="10" l="1"/>
  <c r="AP8" i="10"/>
  <c r="AN11" i="10"/>
  <c r="AS8" i="10"/>
  <c r="AM11" i="10"/>
  <c r="AJ13" i="10"/>
  <c r="AM13" i="10" s="1"/>
  <c r="AP7" i="10"/>
  <c r="AH4" i="9"/>
  <c r="AM4" i="9" s="1"/>
  <c r="AN13" i="10" l="1"/>
  <c r="AQ11" i="10"/>
  <c r="AS11" i="10" s="1"/>
  <c r="AP11" i="10"/>
  <c r="AQ5" i="9"/>
  <c r="AQ6" i="9"/>
  <c r="AQ8" i="9"/>
  <c r="AQ10" i="9"/>
  <c r="AQ4" i="9"/>
  <c r="AN11" i="9"/>
  <c r="AQ11" i="9" s="1"/>
  <c r="AE11" i="9"/>
  <c r="AD11" i="9"/>
  <c r="AC11" i="9"/>
  <c r="AB11" i="9"/>
  <c r="AA11" i="9"/>
  <c r="Z11" i="9"/>
  <c r="Z13" i="9" s="1"/>
  <c r="Y11" i="9"/>
  <c r="Y13" i="9" s="1"/>
  <c r="X11" i="9"/>
  <c r="W11" i="9"/>
  <c r="V11" i="9"/>
  <c r="U11" i="9"/>
  <c r="T11" i="9"/>
  <c r="S11" i="9"/>
  <c r="R11" i="9"/>
  <c r="R13" i="9" s="1"/>
  <c r="Q11" i="9"/>
  <c r="Q13" i="9" s="1"/>
  <c r="P11" i="9"/>
  <c r="O11" i="9"/>
  <c r="N11" i="9"/>
  <c r="M11" i="9"/>
  <c r="L11" i="9"/>
  <c r="K11" i="9"/>
  <c r="J11" i="9"/>
  <c r="J13" i="9" s="1"/>
  <c r="I11" i="9"/>
  <c r="I13" i="9" s="1"/>
  <c r="H11" i="9"/>
  <c r="G11" i="9"/>
  <c r="F11" i="9"/>
  <c r="E11" i="9"/>
  <c r="D11" i="9"/>
  <c r="C11" i="9"/>
  <c r="B11" i="9"/>
  <c r="B13" i="9" s="1"/>
  <c r="AI10" i="9"/>
  <c r="AH10" i="9"/>
  <c r="AM10" i="9" s="1"/>
  <c r="AP10" i="9" s="1"/>
  <c r="AI9" i="9"/>
  <c r="AL9" i="9" s="1"/>
  <c r="AH9" i="9"/>
  <c r="AM9" i="9" s="1"/>
  <c r="AP9" i="9" s="1"/>
  <c r="AI8" i="9"/>
  <c r="AL8" i="9" s="1"/>
  <c r="AH8" i="9"/>
  <c r="AM8" i="9" s="1"/>
  <c r="AP8" i="9" s="1"/>
  <c r="AN7" i="9"/>
  <c r="AQ7" i="9" s="1"/>
  <c r="AE7" i="9"/>
  <c r="AD7" i="9"/>
  <c r="AC7" i="9"/>
  <c r="AB7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AI6" i="9"/>
  <c r="AL6" i="9" s="1"/>
  <c r="AH6" i="9"/>
  <c r="AM6" i="9" s="1"/>
  <c r="AI5" i="9"/>
  <c r="AL5" i="9" s="1"/>
  <c r="AH5" i="9"/>
  <c r="AM5" i="9" s="1"/>
  <c r="AP5" i="9" s="1"/>
  <c r="AP13" i="10" l="1"/>
  <c r="K13" i="9"/>
  <c r="AI11" i="9"/>
  <c r="AL11" i="9" s="1"/>
  <c r="AP6" i="9"/>
  <c r="AR6" i="9" s="1"/>
  <c r="H13" i="9"/>
  <c r="P13" i="9"/>
  <c r="X13" i="9"/>
  <c r="C13" i="9"/>
  <c r="S13" i="9"/>
  <c r="AA13" i="9"/>
  <c r="AR9" i="9"/>
  <c r="AO4" i="9"/>
  <c r="G13" i="9"/>
  <c r="W13" i="9"/>
  <c r="AI7" i="9"/>
  <c r="AL7" i="9" s="1"/>
  <c r="AO6" i="9"/>
  <c r="AH7" i="9"/>
  <c r="O13" i="9"/>
  <c r="AE13" i="9"/>
  <c r="AN13" i="9"/>
  <c r="AQ13" i="9" s="1"/>
  <c r="D13" i="9"/>
  <c r="L13" i="9"/>
  <c r="T13" i="9"/>
  <c r="AB13" i="9"/>
  <c r="E13" i="9"/>
  <c r="M13" i="9"/>
  <c r="U13" i="9"/>
  <c r="AC13" i="9"/>
  <c r="F13" i="9"/>
  <c r="N13" i="9"/>
  <c r="V13" i="9"/>
  <c r="AD13" i="9"/>
  <c r="AO5" i="9"/>
  <c r="AO8" i="9"/>
  <c r="AM11" i="9"/>
  <c r="AP11" i="9" s="1"/>
  <c r="AR8" i="9"/>
  <c r="AM7" i="9"/>
  <c r="AR10" i="9"/>
  <c r="AO10" i="9"/>
  <c r="AL10" i="9"/>
  <c r="AO9" i="9"/>
  <c r="AH11" i="9"/>
  <c r="AH13" i="9" l="1"/>
  <c r="AI13" i="9"/>
  <c r="AL13" i="9" s="1"/>
  <c r="AO11" i="9"/>
  <c r="AR5" i="9"/>
  <c r="AO7" i="9"/>
  <c r="AM13" i="9"/>
  <c r="AO13" i="9" l="1"/>
  <c r="AR11" i="9"/>
  <c r="AL13" i="8" l="1"/>
  <c r="AL11" i="8"/>
  <c r="AL10" i="8"/>
  <c r="AL9" i="8"/>
  <c r="AL8" i="8"/>
  <c r="AL7" i="8"/>
  <c r="AL5" i="8"/>
  <c r="AL6" i="8"/>
  <c r="AL4" i="8"/>
  <c r="AE13" i="8"/>
  <c r="AF13" i="8"/>
  <c r="AE11" i="8"/>
  <c r="AF11" i="8"/>
  <c r="AE7" i="8"/>
  <c r="AF7" i="8"/>
  <c r="AD13" i="8"/>
  <c r="AD11" i="8"/>
  <c r="AD7" i="8"/>
  <c r="AC13" i="8"/>
  <c r="AC11" i="8"/>
  <c r="AC7" i="8"/>
  <c r="AB13" i="8" l="1"/>
  <c r="AB11" i="8"/>
  <c r="AB7" i="8"/>
  <c r="AA13" i="8"/>
  <c r="AA11" i="8"/>
  <c r="AA7" i="8"/>
  <c r="X13" i="8" l="1"/>
  <c r="Y13" i="8"/>
  <c r="Z13" i="8"/>
  <c r="X11" i="8"/>
  <c r="Y11" i="8"/>
  <c r="Z11" i="8"/>
  <c r="X7" i="8"/>
  <c r="Y7" i="8"/>
  <c r="Z7" i="8"/>
  <c r="W13" i="8"/>
  <c r="AJ4" i="8"/>
  <c r="AM4" i="8" s="1"/>
  <c r="W11" i="8" l="1"/>
  <c r="W7" i="8"/>
  <c r="U13" i="8"/>
  <c r="V13" i="8"/>
  <c r="U11" i="8"/>
  <c r="V11" i="8"/>
  <c r="U7" i="8"/>
  <c r="V7" i="8"/>
  <c r="T13" i="8" l="1"/>
  <c r="T11" i="8"/>
  <c r="T7" i="8"/>
  <c r="AI4" i="8"/>
  <c r="Q13" i="8"/>
  <c r="R13" i="8"/>
  <c r="S13" i="8"/>
  <c r="Q11" i="8"/>
  <c r="R11" i="8"/>
  <c r="S11" i="8"/>
  <c r="Q7" i="8"/>
  <c r="R7" i="8"/>
  <c r="S7" i="8"/>
  <c r="P13" i="8"/>
  <c r="P11" i="8"/>
  <c r="P7" i="8"/>
  <c r="N13" i="8" l="1"/>
  <c r="O13" i="8"/>
  <c r="O11" i="8"/>
  <c r="O7" i="8"/>
  <c r="N11" i="8" l="1"/>
  <c r="N7" i="8"/>
  <c r="AN4" i="8"/>
  <c r="AP4" i="8" s="1"/>
  <c r="M13" i="8"/>
  <c r="M11" i="8"/>
  <c r="M7" i="8"/>
  <c r="J13" i="8"/>
  <c r="K13" i="8"/>
  <c r="L13" i="8"/>
  <c r="J11" i="8"/>
  <c r="K11" i="8"/>
  <c r="L11" i="8"/>
  <c r="J7" i="8"/>
  <c r="K7" i="8"/>
  <c r="L7" i="8"/>
  <c r="I13" i="8"/>
  <c r="I11" i="8"/>
  <c r="I7" i="8"/>
  <c r="G13" i="8"/>
  <c r="H13" i="8"/>
  <c r="G11" i="8"/>
  <c r="H11" i="8"/>
  <c r="G7" i="8"/>
  <c r="H7" i="8"/>
  <c r="AR4" i="8"/>
  <c r="F13" i="8"/>
  <c r="F11" i="8"/>
  <c r="F7" i="8"/>
  <c r="C13" i="8" l="1"/>
  <c r="D13" i="8"/>
  <c r="E13" i="8"/>
  <c r="C11" i="8"/>
  <c r="D11" i="8"/>
  <c r="E11" i="8"/>
  <c r="C7" i="8"/>
  <c r="D7" i="8"/>
  <c r="E7" i="8"/>
  <c r="AR5" i="8"/>
  <c r="AR6" i="8"/>
  <c r="AR8" i="8"/>
  <c r="AR9" i="8"/>
  <c r="AR10" i="8"/>
  <c r="B13" i="8"/>
  <c r="B11" i="8"/>
  <c r="B7" i="8"/>
  <c r="AO11" i="8"/>
  <c r="AR11" i="8" s="1"/>
  <c r="AJ10" i="8"/>
  <c r="AM10" i="8" s="1"/>
  <c r="AI10" i="8"/>
  <c r="AN10" i="8" s="1"/>
  <c r="AQ10" i="8" s="1"/>
  <c r="AJ9" i="8"/>
  <c r="AM9" i="8" s="1"/>
  <c r="AI9" i="8"/>
  <c r="AN9" i="8" s="1"/>
  <c r="AP9" i="8" s="1"/>
  <c r="AJ8" i="8"/>
  <c r="AM8" i="8" s="1"/>
  <c r="AI8" i="8"/>
  <c r="AO7" i="8"/>
  <c r="AJ6" i="8"/>
  <c r="AM6" i="8" s="1"/>
  <c r="AI6" i="8"/>
  <c r="AN6" i="8" s="1"/>
  <c r="AP6" i="8" s="1"/>
  <c r="AJ5" i="8"/>
  <c r="AM5" i="8" s="1"/>
  <c r="AI5" i="8"/>
  <c r="AN5" i="8" s="1"/>
  <c r="AQ5" i="8" s="1"/>
  <c r="AO13" i="8" l="1"/>
  <c r="AR7" i="8"/>
  <c r="AR13" i="8" s="1"/>
  <c r="AQ9" i="8"/>
  <c r="AS9" i="8" s="1"/>
  <c r="AQ6" i="8"/>
  <c r="AS6" i="8" s="1"/>
  <c r="AI11" i="8"/>
  <c r="AJ11" i="8"/>
  <c r="AM11" i="8" s="1"/>
  <c r="AS10" i="8"/>
  <c r="AI7" i="8"/>
  <c r="AN8" i="8"/>
  <c r="AP5" i="8"/>
  <c r="AS5" i="8"/>
  <c r="AJ7" i="8"/>
  <c r="AM7" i="8" s="1"/>
  <c r="AP10" i="8"/>
  <c r="AI13" i="8" l="1"/>
  <c r="AN11" i="8"/>
  <c r="AQ8" i="8"/>
  <c r="AS8" i="8" s="1"/>
  <c r="AP8" i="8"/>
  <c r="AN7" i="8"/>
  <c r="AJ13" i="8"/>
  <c r="AM13" i="8" s="1"/>
  <c r="AQ11" i="8" l="1"/>
  <c r="AS11" i="8" s="1"/>
  <c r="AP11" i="8"/>
  <c r="AN13" i="8"/>
  <c r="AP13" i="8" s="1"/>
  <c r="AP7" i="8"/>
  <c r="AL13" i="7" l="1"/>
  <c r="AL5" i="7"/>
  <c r="AL4" i="7"/>
  <c r="AK13" i="7"/>
  <c r="AK5" i="7"/>
  <c r="AK6" i="7"/>
  <c r="AK7" i="7"/>
  <c r="AK8" i="7"/>
  <c r="AK9" i="7"/>
  <c r="AK10" i="7"/>
  <c r="AK11" i="7"/>
  <c r="AK4" i="7"/>
  <c r="AI7" i="7"/>
  <c r="AE13" i="7"/>
  <c r="AE11" i="7"/>
  <c r="AE7" i="7"/>
  <c r="AI4" i="7"/>
  <c r="AC13" i="7"/>
  <c r="AD13" i="7"/>
  <c r="AC11" i="7"/>
  <c r="AD11" i="7"/>
  <c r="AC7" i="7"/>
  <c r="AD7" i="7"/>
  <c r="Z13" i="7"/>
  <c r="AA13" i="7"/>
  <c r="AB13" i="7"/>
  <c r="Z11" i="7"/>
  <c r="AA11" i="7"/>
  <c r="AB11" i="7"/>
  <c r="Z7" i="7"/>
  <c r="AA7" i="7"/>
  <c r="AB7" i="7"/>
  <c r="Y13" i="7" l="1"/>
  <c r="Y11" i="7"/>
  <c r="Y7" i="7"/>
  <c r="X13" i="7"/>
  <c r="X11" i="7"/>
  <c r="X7" i="7"/>
  <c r="W13" i="7" l="1"/>
  <c r="W11" i="7"/>
  <c r="W7" i="7"/>
  <c r="V13" i="7"/>
  <c r="V11" i="7"/>
  <c r="V7" i="7"/>
  <c r="AM4" i="7"/>
  <c r="S13" i="7"/>
  <c r="T13" i="7"/>
  <c r="U13" i="7"/>
  <c r="S11" i="7"/>
  <c r="T11" i="7"/>
  <c r="U11" i="7"/>
  <c r="S7" i="7"/>
  <c r="T7" i="7"/>
  <c r="U7" i="7"/>
  <c r="R13" i="7"/>
  <c r="R11" i="7"/>
  <c r="R7" i="7"/>
  <c r="Q13" i="7"/>
  <c r="Q11" i="7"/>
  <c r="Q7" i="7"/>
  <c r="P11" i="7"/>
  <c r="P7" i="7"/>
  <c r="O13" i="7"/>
  <c r="O11" i="7"/>
  <c r="O7" i="7"/>
  <c r="P13" i="7" l="1"/>
  <c r="L13" i="7"/>
  <c r="M13" i="7"/>
  <c r="N13" i="7"/>
  <c r="L11" i="7"/>
  <c r="M11" i="7"/>
  <c r="N11" i="7"/>
  <c r="L7" i="7"/>
  <c r="M7" i="7"/>
  <c r="N7" i="7"/>
  <c r="K13" i="7"/>
  <c r="K11" i="7"/>
  <c r="K7" i="7"/>
  <c r="J11" i="7"/>
  <c r="J7" i="7"/>
  <c r="J13" i="7" s="1"/>
  <c r="I13" i="7"/>
  <c r="I11" i="7"/>
  <c r="I7" i="7"/>
  <c r="H13" i="7"/>
  <c r="H11" i="7"/>
  <c r="H7" i="7"/>
  <c r="E13" i="7" l="1"/>
  <c r="G13" i="7"/>
  <c r="E11" i="7"/>
  <c r="F11" i="7"/>
  <c r="G11" i="7"/>
  <c r="E7" i="7"/>
  <c r="F7" i="7"/>
  <c r="G7" i="7"/>
  <c r="F13" i="7" l="1"/>
  <c r="D13" i="7" l="1"/>
  <c r="D11" i="7"/>
  <c r="D7" i="7"/>
  <c r="AI5" i="7"/>
  <c r="C13" i="7"/>
  <c r="C11" i="7"/>
  <c r="C7" i="7" l="1"/>
  <c r="AQ4" i="7"/>
  <c r="AN11" i="7"/>
  <c r="AQ11" i="7" s="1"/>
  <c r="AN7" i="7"/>
  <c r="AQ7" i="7" s="1"/>
  <c r="AQ5" i="7"/>
  <c r="AQ6" i="7"/>
  <c r="AQ8" i="7"/>
  <c r="AQ9" i="7"/>
  <c r="AQ10" i="7"/>
  <c r="B11" i="7"/>
  <c r="AI10" i="7"/>
  <c r="AL10" i="7" s="1"/>
  <c r="AH10" i="7"/>
  <c r="AI9" i="7"/>
  <c r="AL9" i="7" s="1"/>
  <c r="AH9" i="7"/>
  <c r="AM9" i="7" s="1"/>
  <c r="AO9" i="7" s="1"/>
  <c r="AI8" i="7"/>
  <c r="AL8" i="7" s="1"/>
  <c r="AH8" i="7"/>
  <c r="B7" i="7"/>
  <c r="AI6" i="7"/>
  <c r="AL6" i="7" s="1"/>
  <c r="AH6" i="7"/>
  <c r="AM6" i="7" s="1"/>
  <c r="AO6" i="7" s="1"/>
  <c r="AH5" i="7"/>
  <c r="AH11" i="7" l="1"/>
  <c r="AN13" i="7"/>
  <c r="AP9" i="7"/>
  <c r="AR9" i="7" s="1"/>
  <c r="AL7" i="7"/>
  <c r="AP6" i="7"/>
  <c r="AR6" i="7" s="1"/>
  <c r="B13" i="7"/>
  <c r="AI11" i="7"/>
  <c r="AL11" i="7" s="1"/>
  <c r="AQ13" i="7"/>
  <c r="AM8" i="7"/>
  <c r="AM10" i="7"/>
  <c r="AP4" i="7"/>
  <c r="AM5" i="7"/>
  <c r="AH7" i="7"/>
  <c r="AR4" i="7" l="1"/>
  <c r="AQ4" i="8"/>
  <c r="AH13" i="7"/>
  <c r="AI13" i="7"/>
  <c r="AO5" i="7"/>
  <c r="AP5" i="7"/>
  <c r="AR5" i="7" s="1"/>
  <c r="AO10" i="7"/>
  <c r="AP10" i="7"/>
  <c r="AR10" i="7" s="1"/>
  <c r="AM11" i="7"/>
  <c r="AP11" i="7" s="1"/>
  <c r="AR11" i="7" s="1"/>
  <c r="AO8" i="7"/>
  <c r="AP8" i="7"/>
  <c r="AR8" i="7" s="1"/>
  <c r="AM7" i="7"/>
  <c r="AP7" i="7" s="1"/>
  <c r="AR7" i="7" s="1"/>
  <c r="AO4" i="7"/>
  <c r="AP4" i="9" l="1"/>
  <c r="AQ7" i="8"/>
  <c r="AS4" i="8"/>
  <c r="AO11" i="7"/>
  <c r="AP13" i="7"/>
  <c r="AR13" i="7" s="1"/>
  <c r="AM13" i="7"/>
  <c r="AO13" i="7" s="1"/>
  <c r="AO7" i="7"/>
  <c r="AP7" i="9" l="1"/>
  <c r="AS7" i="8"/>
  <c r="AQ13" i="8"/>
  <c r="AQ4" i="10"/>
  <c r="AR4" i="9"/>
  <c r="AM13" i="6"/>
  <c r="AM4" i="6"/>
  <c r="AL13" i="6"/>
  <c r="AL11" i="6"/>
  <c r="AL9" i="6"/>
  <c r="AL10" i="6"/>
  <c r="AL8" i="6"/>
  <c r="AL7" i="6"/>
  <c r="AL5" i="6"/>
  <c r="AL6" i="6"/>
  <c r="AL4" i="6"/>
  <c r="AJ4" i="6"/>
  <c r="AI4" i="6"/>
  <c r="AC13" i="6"/>
  <c r="AD13" i="6"/>
  <c r="AE13" i="6"/>
  <c r="AF13" i="6"/>
  <c r="AF11" i="6"/>
  <c r="AF7" i="6"/>
  <c r="AC11" i="6"/>
  <c r="AD11" i="6"/>
  <c r="AE11" i="6"/>
  <c r="AD7" i="6"/>
  <c r="AE7" i="6"/>
  <c r="AC7" i="6"/>
  <c r="AB13" i="6"/>
  <c r="AB11" i="6"/>
  <c r="AB7" i="6"/>
  <c r="AN4" i="6"/>
  <c r="AA13" i="6"/>
  <c r="AA11" i="6"/>
  <c r="AA7" i="6"/>
  <c r="Z13" i="6"/>
  <c r="Z11" i="6"/>
  <c r="Z7" i="6"/>
  <c r="Y13" i="6"/>
  <c r="Y11" i="6"/>
  <c r="Y7" i="6"/>
  <c r="W13" i="6"/>
  <c r="X13" i="6"/>
  <c r="X11" i="6"/>
  <c r="X7" i="6"/>
  <c r="W11" i="6"/>
  <c r="W7" i="6"/>
  <c r="V13" i="6"/>
  <c r="V11" i="6"/>
  <c r="V7" i="6"/>
  <c r="AS4" i="10" l="1"/>
  <c r="AP4" i="12"/>
  <c r="AR4" i="12" s="1"/>
  <c r="AQ4" i="11"/>
  <c r="AS4" i="11" s="1"/>
  <c r="AS13" i="8"/>
  <c r="AP13" i="9"/>
  <c r="AQ7" i="10"/>
  <c r="AR7" i="9"/>
  <c r="AQ4" i="6"/>
  <c r="U11" i="6"/>
  <c r="U7" i="6"/>
  <c r="AQ7" i="11" l="1"/>
  <c r="AS7" i="11" s="1"/>
  <c r="AP7" i="12"/>
  <c r="AR7" i="12" s="1"/>
  <c r="AS7" i="10"/>
  <c r="AR13" i="9"/>
  <c r="AQ13" i="10"/>
  <c r="AP4" i="6"/>
  <c r="U13" i="6"/>
  <c r="T11" i="6"/>
  <c r="T13" i="6" s="1"/>
  <c r="T7" i="6"/>
  <c r="S13" i="6"/>
  <c r="S11" i="6"/>
  <c r="S7" i="6"/>
  <c r="R13" i="6"/>
  <c r="R11" i="6"/>
  <c r="R7" i="6"/>
  <c r="O13" i="6"/>
  <c r="P13" i="6"/>
  <c r="Q13" i="6"/>
  <c r="Q11" i="6"/>
  <c r="Q7" i="6"/>
  <c r="O11" i="6"/>
  <c r="P11" i="6"/>
  <c r="O7" i="6"/>
  <c r="P7" i="6"/>
  <c r="N11" i="6"/>
  <c r="N7" i="6"/>
  <c r="N13" i="6" s="1"/>
  <c r="M13" i="6"/>
  <c r="M11" i="6"/>
  <c r="M7" i="6"/>
  <c r="AO7" i="6"/>
  <c r="AJ10" i="6"/>
  <c r="AJ9" i="6"/>
  <c r="AM9" i="6" s="1"/>
  <c r="AJ8" i="6"/>
  <c r="AM8" i="6" s="1"/>
  <c r="AJ6" i="6"/>
  <c r="AM6" i="6" s="1"/>
  <c r="AJ5" i="6"/>
  <c r="AM5" i="6" s="1"/>
  <c r="L13" i="6"/>
  <c r="L11" i="6"/>
  <c r="L7" i="6"/>
  <c r="K13" i="6"/>
  <c r="K11" i="6"/>
  <c r="K7" i="6"/>
  <c r="J7" i="6"/>
  <c r="AI8" i="6"/>
  <c r="J13" i="6"/>
  <c r="J11" i="6"/>
  <c r="H13" i="6"/>
  <c r="I13" i="6"/>
  <c r="H11" i="6"/>
  <c r="I11" i="6"/>
  <c r="I7" i="6"/>
  <c r="H7" i="6"/>
  <c r="AS13" i="10" l="1"/>
  <c r="AP13" i="12"/>
  <c r="AR13" i="12" s="1"/>
  <c r="AQ13" i="11"/>
  <c r="AS13" i="11" s="1"/>
  <c r="AJ7" i="6"/>
  <c r="AM7" i="6" s="1"/>
  <c r="AJ11" i="6"/>
  <c r="G13" i="6"/>
  <c r="G11" i="6"/>
  <c r="G7" i="6"/>
  <c r="F13" i="6"/>
  <c r="F11" i="6"/>
  <c r="F7" i="6"/>
  <c r="E11" i="6"/>
  <c r="D11" i="6"/>
  <c r="D13" i="6" s="1"/>
  <c r="E7" i="6"/>
  <c r="D7" i="6"/>
  <c r="AJ13" i="6" l="1"/>
  <c r="E13" i="6"/>
  <c r="AP4" i="4"/>
  <c r="AO4" i="4"/>
  <c r="AN4" i="4"/>
  <c r="AM4" i="4"/>
  <c r="AK4" i="4"/>
  <c r="AJ4" i="4"/>
  <c r="AI4" i="4"/>
  <c r="AG4" i="4"/>
  <c r="AF4" i="4"/>
  <c r="AR9" i="6"/>
  <c r="AR10" i="6"/>
  <c r="AR8" i="6"/>
  <c r="AR5" i="6"/>
  <c r="AR6" i="6"/>
  <c r="AR4" i="6"/>
  <c r="AO11" i="6"/>
  <c r="AR11" i="6" l="1"/>
  <c r="AR7" i="6"/>
  <c r="C13" i="6"/>
  <c r="B13" i="6"/>
  <c r="C11" i="6"/>
  <c r="B11" i="6"/>
  <c r="AM11" i="6"/>
  <c r="AI6" i="6"/>
  <c r="AQ6" i="6" s="1"/>
  <c r="AS6" i="6" s="1"/>
  <c r="AI5" i="6"/>
  <c r="AQ5" i="6" s="1"/>
  <c r="AS5" i="6" s="1"/>
  <c r="C7" i="6"/>
  <c r="AI10" i="6"/>
  <c r="AQ10" i="6" s="1"/>
  <c r="AS10" i="6" s="1"/>
  <c r="AI9" i="6"/>
  <c r="AQ9" i="6" s="1"/>
  <c r="AS9" i="6" s="1"/>
  <c r="AQ8" i="6"/>
  <c r="AO13" i="6"/>
  <c r="B7" i="6"/>
  <c r="AQ7" i="6" l="1"/>
  <c r="AR13" i="6"/>
  <c r="AN10" i="6"/>
  <c r="AP10" i="6" s="1"/>
  <c r="AN8" i="6"/>
  <c r="AP8" i="6" s="1"/>
  <c r="AN9" i="6"/>
  <c r="AP9" i="6" s="1"/>
  <c r="AQ11" i="6"/>
  <c r="AS11" i="6" s="1"/>
  <c r="AS8" i="6"/>
  <c r="AN6" i="6"/>
  <c r="AP6" i="6" s="1"/>
  <c r="AI7" i="6"/>
  <c r="AN5" i="6"/>
  <c r="AI11" i="6"/>
  <c r="AP5" i="6" l="1"/>
  <c r="AN7" i="6"/>
  <c r="AP7" i="6" s="1"/>
  <c r="AN11" i="6"/>
  <c r="AP11" i="6" s="1"/>
  <c r="AI13" i="6"/>
  <c r="AN13" i="6" l="1"/>
  <c r="AP13" i="6" s="1"/>
  <c r="AI13" i="4"/>
  <c r="AI11" i="4"/>
  <c r="AI9" i="4"/>
  <c r="AI10" i="4"/>
  <c r="AI8" i="4"/>
  <c r="AI7" i="4"/>
  <c r="AI5" i="4"/>
  <c r="AI6" i="4"/>
  <c r="AG13" i="4"/>
  <c r="AG11" i="4"/>
  <c r="AG9" i="4"/>
  <c r="AG10" i="4"/>
  <c r="AG8" i="4"/>
  <c r="AG7" i="4"/>
  <c r="AG5" i="4"/>
  <c r="AG6" i="4"/>
  <c r="AC13" i="4"/>
  <c r="AC11" i="4"/>
  <c r="AC7" i="4"/>
  <c r="AB11" i="4"/>
  <c r="AB7" i="4" l="1"/>
  <c r="AN7" i="3"/>
  <c r="AJ6" i="4"/>
  <c r="AJ5" i="4"/>
  <c r="AA11" i="4"/>
  <c r="AA13" i="4" s="1"/>
  <c r="AA7" i="4"/>
  <c r="Z11" i="4"/>
  <c r="Z13" i="4" s="1"/>
  <c r="Z7" i="4"/>
  <c r="Y11" i="4"/>
  <c r="Y13" i="4" s="1"/>
  <c r="Y7" i="4"/>
  <c r="W11" i="4"/>
  <c r="W13" i="4" s="1"/>
  <c r="X11" i="4"/>
  <c r="X13" i="4" s="1"/>
  <c r="W7" i="4"/>
  <c r="X7" i="4"/>
  <c r="V11" i="4"/>
  <c r="V13" i="4" s="1"/>
  <c r="V7" i="4"/>
  <c r="U7" i="4"/>
  <c r="U11" i="4"/>
  <c r="T11" i="4"/>
  <c r="T13" i="4" s="1"/>
  <c r="T7" i="4"/>
  <c r="AN7" i="4" l="1"/>
  <c r="U13" i="4"/>
  <c r="AB13" i="4"/>
  <c r="S11" i="4"/>
  <c r="S13" i="4" s="1"/>
  <c r="S7" i="4"/>
  <c r="AS4" i="6" l="1"/>
  <c r="AJ7" i="4"/>
  <c r="AJ13" i="4"/>
  <c r="AJ9" i="4"/>
  <c r="AJ8" i="4"/>
  <c r="R11" i="4"/>
  <c r="R13" i="4" s="1"/>
  <c r="R7" i="4"/>
  <c r="AJ10" i="4"/>
  <c r="P13" i="4"/>
  <c r="P11" i="4"/>
  <c r="Q11" i="4"/>
  <c r="Q13" i="4" s="1"/>
  <c r="P7" i="4"/>
  <c r="Q7" i="4"/>
  <c r="O11" i="4"/>
  <c r="O13" i="4" s="1"/>
  <c r="O7" i="4"/>
  <c r="N11" i="4"/>
  <c r="N13" i="4" s="1"/>
  <c r="N7" i="4"/>
  <c r="M11" i="4"/>
  <c r="M13" i="4" s="1"/>
  <c r="M7" i="4"/>
  <c r="K13" i="4"/>
  <c r="L13" i="4"/>
  <c r="L11" i="4"/>
  <c r="J11" i="4"/>
  <c r="K11" i="4"/>
  <c r="L7" i="4"/>
  <c r="I7" i="4"/>
  <c r="J7" i="4"/>
  <c r="K7" i="4"/>
  <c r="AS7" i="6" l="1"/>
  <c r="AQ13" i="6"/>
  <c r="AS13" i="6" s="1"/>
  <c r="J13" i="4"/>
  <c r="H11" i="4"/>
  <c r="I11" i="4"/>
  <c r="I13" i="4" s="1"/>
  <c r="H7" i="4"/>
  <c r="H13" i="4" s="1"/>
  <c r="G11" i="4"/>
  <c r="G13" i="4" s="1"/>
  <c r="G7" i="4"/>
  <c r="AJ11" i="4" l="1"/>
  <c r="F11" i="4"/>
  <c r="F13" i="4" s="1"/>
  <c r="F7" i="4"/>
  <c r="E11" i="4"/>
  <c r="E7" i="4"/>
  <c r="AO10" i="4"/>
  <c r="AO9" i="4"/>
  <c r="AO8" i="4"/>
  <c r="AO6" i="4"/>
  <c r="AO5" i="4"/>
  <c r="D11" i="4"/>
  <c r="D13" i="4" s="1"/>
  <c r="D7" i="4"/>
  <c r="E13" i="4" l="1"/>
  <c r="AO11" i="4"/>
  <c r="AO7" i="4"/>
  <c r="AF10" i="4"/>
  <c r="AK10" i="4" s="1"/>
  <c r="AN10" i="4" s="1"/>
  <c r="AP10" i="4" s="1"/>
  <c r="AF9" i="4"/>
  <c r="AK9" i="4" s="1"/>
  <c r="AN9" i="4" s="1"/>
  <c r="AP9" i="4" s="1"/>
  <c r="AF8" i="4"/>
  <c r="AF6" i="4"/>
  <c r="AK6" i="4" s="1"/>
  <c r="AN6" i="4" s="1"/>
  <c r="AP6" i="4" s="1"/>
  <c r="AF5" i="4"/>
  <c r="AK5" i="4" s="1"/>
  <c r="B11" i="4"/>
  <c r="B13" i="4" s="1"/>
  <c r="C11" i="4"/>
  <c r="C13" i="4" s="1"/>
  <c r="AL11" i="4"/>
  <c r="AL7" i="4"/>
  <c r="C7" i="4"/>
  <c r="B7" i="4"/>
  <c r="AD7" i="3"/>
  <c r="AO13" i="3"/>
  <c r="AK7" i="4" l="1"/>
  <c r="AK8" i="4"/>
  <c r="AK11" i="4" s="1"/>
  <c r="AM11" i="4" s="1"/>
  <c r="AO13" i="4"/>
  <c r="AL13" i="4"/>
  <c r="AM10" i="4"/>
  <c r="AM9" i="4"/>
  <c r="AM6" i="4"/>
  <c r="AN5" i="4"/>
  <c r="AM5" i="4"/>
  <c r="AF11" i="4"/>
  <c r="AF7" i="4"/>
  <c r="AM13" i="3"/>
  <c r="AM8" i="3"/>
  <c r="AM4" i="3"/>
  <c r="AA11" i="3"/>
  <c r="AB11" i="3"/>
  <c r="AC11" i="3"/>
  <c r="AL11" i="3"/>
  <c r="AL9" i="3"/>
  <c r="AL10" i="3"/>
  <c r="AL8" i="3"/>
  <c r="AL7" i="3"/>
  <c r="AL5" i="3"/>
  <c r="AL6" i="3"/>
  <c r="AL4" i="3"/>
  <c r="AJ5" i="3"/>
  <c r="Z13" i="3"/>
  <c r="AA13" i="3"/>
  <c r="AB13" i="3"/>
  <c r="AC13" i="3"/>
  <c r="AL13" i="3" s="1"/>
  <c r="Z7" i="3"/>
  <c r="AA7" i="3"/>
  <c r="AB7" i="3"/>
  <c r="AC7" i="3"/>
  <c r="AJ9" i="3"/>
  <c r="AJ10" i="3"/>
  <c r="AJ8" i="3"/>
  <c r="AJ6" i="3"/>
  <c r="AM6" i="3" s="1"/>
  <c r="AJ4" i="3"/>
  <c r="V11" i="3"/>
  <c r="W11" i="3"/>
  <c r="X11" i="3"/>
  <c r="Y11" i="3"/>
  <c r="Z11" i="3"/>
  <c r="V7" i="3"/>
  <c r="W7" i="3"/>
  <c r="W13" i="3" s="1"/>
  <c r="X7" i="3"/>
  <c r="X13" i="3" s="1"/>
  <c r="Y7" i="3"/>
  <c r="Y13" i="3" s="1"/>
  <c r="AN8" i="4" l="1"/>
  <c r="AN11" i="4" s="1"/>
  <c r="AP11" i="4" s="1"/>
  <c r="AK13" i="4"/>
  <c r="AM13" i="4" s="1"/>
  <c r="AM8" i="4"/>
  <c r="AP8" i="4"/>
  <c r="AP5" i="4"/>
  <c r="AM7" i="4"/>
  <c r="AF13" i="4"/>
  <c r="AJ11" i="3"/>
  <c r="AJ7" i="3"/>
  <c r="AJ13" i="3" s="1"/>
  <c r="AM5" i="3"/>
  <c r="AO11" i="3"/>
  <c r="AO7" i="3"/>
  <c r="AN13" i="4" l="1"/>
  <c r="AP13" i="4" s="1"/>
  <c r="AP7" i="4"/>
  <c r="AN11" i="3"/>
  <c r="AP6" i="3"/>
  <c r="AP4" i="3"/>
  <c r="AP9" i="3"/>
  <c r="AP10" i="3"/>
  <c r="AP8" i="3"/>
  <c r="AP5" i="3"/>
  <c r="AN13" i="3" l="1"/>
  <c r="AM10" i="3"/>
  <c r="AM9" i="3"/>
  <c r="AM11" i="3"/>
  <c r="V13" i="3"/>
  <c r="AP11" i="3"/>
  <c r="AP7" i="3"/>
  <c r="R11" i="3"/>
  <c r="S11" i="3"/>
  <c r="T11" i="3"/>
  <c r="T13" i="3" s="1"/>
  <c r="U11" i="3"/>
  <c r="Q7" i="3"/>
  <c r="R7" i="3"/>
  <c r="S7" i="3"/>
  <c r="T7" i="3"/>
  <c r="U7" i="3"/>
  <c r="AI5" i="3"/>
  <c r="Q11" i="3"/>
  <c r="Q13" i="3" s="1"/>
  <c r="P11" i="3"/>
  <c r="O11" i="3"/>
  <c r="P7" i="3"/>
  <c r="P13" i="3" s="1"/>
  <c r="M11" i="3"/>
  <c r="M13" i="3" s="1"/>
  <c r="N11" i="3"/>
  <c r="AI8" i="3"/>
  <c r="O7" i="3"/>
  <c r="J11" i="3"/>
  <c r="K11" i="3"/>
  <c r="K13" i="3" s="1"/>
  <c r="L11" i="3"/>
  <c r="L13" i="3" s="1"/>
  <c r="C7" i="3"/>
  <c r="C13" i="3" s="1"/>
  <c r="D7" i="3"/>
  <c r="D13" i="3" s="1"/>
  <c r="E7" i="3"/>
  <c r="E13" i="3" s="1"/>
  <c r="F7" i="3"/>
  <c r="F13" i="3" s="1"/>
  <c r="G7" i="3"/>
  <c r="G13" i="3" s="1"/>
  <c r="H7" i="3"/>
  <c r="H13" i="3" s="1"/>
  <c r="I7" i="3"/>
  <c r="I13" i="3" s="1"/>
  <c r="J7" i="3"/>
  <c r="K7" i="3"/>
  <c r="L7" i="3"/>
  <c r="M7" i="3"/>
  <c r="B7" i="3"/>
  <c r="B13" i="3" s="1"/>
  <c r="AI10" i="3"/>
  <c r="AI9" i="3"/>
  <c r="AI6" i="3"/>
  <c r="AI11" i="3" l="1"/>
  <c r="AP13" i="3"/>
  <c r="J13" i="3"/>
  <c r="S13" i="3"/>
  <c r="AI7" i="3"/>
  <c r="R13" i="3"/>
  <c r="O13" i="3"/>
  <c r="U13" i="3"/>
  <c r="AE11" i="3"/>
  <c r="AE7" i="3"/>
  <c r="AF11" i="3"/>
  <c r="AD11" i="3"/>
  <c r="AF7" i="3"/>
  <c r="N7" i="3"/>
  <c r="N13" i="3" s="1"/>
  <c r="AI13" i="3" l="1"/>
  <c r="AM7" i="3"/>
  <c r="AF13" i="3"/>
  <c r="AD13" i="3"/>
  <c r="AE13" i="3"/>
</calcChain>
</file>

<file path=xl/sharedStrings.xml><?xml version="1.0" encoding="utf-8"?>
<sst xmlns="http://schemas.openxmlformats.org/spreadsheetml/2006/main" count="267" uniqueCount="46">
  <si>
    <t>L11</t>
  </si>
  <si>
    <t>L12</t>
  </si>
  <si>
    <t>L13</t>
  </si>
  <si>
    <t>L21</t>
  </si>
  <si>
    <t>L22</t>
  </si>
  <si>
    <t>L23</t>
  </si>
  <si>
    <t>Four 1</t>
  </si>
  <si>
    <t>Four 2</t>
  </si>
  <si>
    <t>Total des arrets TM</t>
  </si>
  <si>
    <t>Total des arrêts (min)</t>
  </si>
  <si>
    <t>Moyenne des arrets par jour (min)</t>
  </si>
  <si>
    <t xml:space="preserve">Ecart des arrets journalier / Seuile des arrets 2024 </t>
  </si>
  <si>
    <t xml:space="preserve">Ecart  moyenne des arrets  / Seuile des arrets 2024 </t>
  </si>
  <si>
    <t>Moyenne Four 1</t>
  </si>
  <si>
    <t>Total des arrêts 2025 (min)</t>
  </si>
  <si>
    <t>Total des arrêts 2024 (min)</t>
  </si>
  <si>
    <t xml:space="preserve">Ecart  Totale des arrets 2025 / Totale des arrets 2024 </t>
  </si>
  <si>
    <t>Seuil des arrets 2024 par jour (min)</t>
  </si>
  <si>
    <t>Moyenne des arrets TM</t>
  </si>
  <si>
    <t xml:space="preserve">Total des arrêts 2025 (min) (Février) </t>
  </si>
  <si>
    <t>Total des arrêts 2024 (min) (Février)</t>
  </si>
  <si>
    <t xml:space="preserve">Total des arrêts 2025 (min) </t>
  </si>
  <si>
    <t xml:space="preserve">Total des arrêts 2024 (min) </t>
  </si>
  <si>
    <t>Suivi quotidien des arrêts de ligne de fabrication du mois de Janvier 2025 (en min)</t>
  </si>
  <si>
    <t>Suivi quotidien des arrêts de ligne de fabrication du mois de Fevrier 2025 (en min)</t>
  </si>
  <si>
    <t>Suivi quotidien des arrêts de ligne de fabrication du mois de Mars 2025 (en min)</t>
  </si>
  <si>
    <t xml:space="preserve">Total des arrêts 2025 (min) (Mars) </t>
  </si>
  <si>
    <t>Total des arrêts 2024 (min) (Mars)</t>
  </si>
  <si>
    <t>Suivi quotidien des arrêts de ligne de fabrication du mois de Avril 2025 (en min)</t>
  </si>
  <si>
    <t xml:space="preserve">Total des arrêts 2025 (min) (Avril) </t>
  </si>
  <si>
    <t>Total des arrêts 2024 (min) (Avril)</t>
  </si>
  <si>
    <t xml:space="preserve">Total des arrêts 2025 (min) (Mai) </t>
  </si>
  <si>
    <t>Total des arrêts 2024 (min) (Mai)</t>
  </si>
  <si>
    <t>Suivi quotidien des arrêts de ligne de fabrication du mois de Mai 2025 (en min)</t>
  </si>
  <si>
    <t>Suivi quotidien des arrêts de ligne de fabrication du mois de Juin 2025 (en min)</t>
  </si>
  <si>
    <t xml:space="preserve">Total des arrêts 2025 (min) (Juin) </t>
  </si>
  <si>
    <t>Total des arrêts 2024 (min) (Juin)</t>
  </si>
  <si>
    <t>Suivi quotidien des arrêts de ligne de fabrication du mois de Juillet 2025 (en min)</t>
  </si>
  <si>
    <t xml:space="preserve">Total des arrêts 2025 (min) (Juillet) </t>
  </si>
  <si>
    <t>Total des arrêts 2024 (min) (Juillet)</t>
  </si>
  <si>
    <t>Suivi quotidien des arrêts de ligne de fabrication du mois d'Aout 2025 (en min)</t>
  </si>
  <si>
    <t xml:space="preserve">Total des arrêts 2025 (min) (Aout) </t>
  </si>
  <si>
    <t>Total des arrêts 2024 (min) (Aout)</t>
  </si>
  <si>
    <t>Suivi quotidien des arrêts de ligne de fabrication du mois d'Septembre 2025 (en min)</t>
  </si>
  <si>
    <t xml:space="preserve">Total des arrêts 2025 (min) (Septembre) </t>
  </si>
  <si>
    <t>Total des arrêts 2024 (min) (Septembre)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</si>
</sst>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C]d\-mmm\-yy;@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 textRotation="90" wrapText="1"/>
    </xf>
    <xf numFmtId="1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/>
    <xf numFmtId="1" fontId="0" fillId="0" borderId="2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11" fillId="0" borderId="0" xfId="0" applyFont="1"/>
    <xf numFmtId="0" fontId="0" fillId="0" borderId="9" xfId="0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164" fontId="4" fillId="6" borderId="14" xfId="0" applyNumberFormat="1" applyFont="1" applyFill="1" applyBorder="1" applyAlignment="1">
      <alignment horizontal="center" vertical="center" textRotation="90" wrapText="1"/>
    </xf>
    <xf numFmtId="164" fontId="4" fillId="6" borderId="15" xfId="0" applyNumberFormat="1" applyFont="1" applyFill="1" applyBorder="1" applyAlignment="1">
      <alignment horizontal="center" vertical="center" textRotation="90" wrapText="1"/>
    </xf>
    <xf numFmtId="164" fontId="4" fillId="6" borderId="16" xfId="0" applyNumberFormat="1" applyFont="1" applyFill="1" applyBorder="1" applyAlignment="1">
      <alignment horizontal="center" vertical="center" textRotation="90" wrapText="1"/>
    </xf>
    <xf numFmtId="14" fontId="0" fillId="5" borderId="18" xfId="0" applyNumberForma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14" fontId="0" fillId="5" borderId="22" xfId="0" applyNumberFormat="1" applyFill="1" applyBorder="1" applyAlignment="1">
      <alignment horizontal="center" vertical="center"/>
    </xf>
    <xf numFmtId="14" fontId="0" fillId="5" borderId="23" xfId="0" applyNumberFormat="1" applyFill="1" applyBorder="1" applyAlignment="1">
      <alignment horizontal="center" vertical="center" wrapText="1"/>
    </xf>
    <xf numFmtId="1" fontId="0" fillId="5" borderId="24" xfId="0" applyNumberFormat="1" applyFill="1" applyBorder="1" applyAlignment="1">
      <alignment horizontal="center" vertical="center"/>
    </xf>
    <xf numFmtId="1" fontId="0" fillId="5" borderId="25" xfId="0" applyNumberFormat="1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14" fontId="0" fillId="2" borderId="18" xfId="0" applyNumberForma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4" fontId="0" fillId="2" borderId="22" xfId="0" applyNumberFormat="1" applyFill="1" applyBorder="1" applyAlignment="1">
      <alignment horizontal="center" vertical="center"/>
    </xf>
    <xf numFmtId="14" fontId="0" fillId="2" borderId="23" xfId="0" applyNumberFormat="1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 wrapText="1"/>
    </xf>
    <xf numFmtId="1" fontId="0" fillId="4" borderId="27" xfId="0" applyNumberFormat="1" applyFill="1" applyBorder="1" applyAlignment="1">
      <alignment horizontal="center" vertical="center"/>
    </xf>
    <xf numFmtId="1" fontId="0" fillId="4" borderId="28" xfId="0" applyNumberFormat="1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" fontId="0" fillId="0" borderId="30" xfId="0" applyNumberForma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  <xf numFmtId="1" fontId="7" fillId="0" borderId="20" xfId="0" applyNumberFormat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" fontId="1" fillId="2" borderId="32" xfId="0" applyNumberFormat="1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/>
    </xf>
    <xf numFmtId="1" fontId="6" fillId="2" borderId="33" xfId="0" applyNumberFormat="1" applyFont="1" applyFill="1" applyBorder="1" applyAlignment="1">
      <alignment horizontal="center" vertical="center"/>
    </xf>
    <xf numFmtId="1" fontId="7" fillId="2" borderId="34" xfId="0" applyNumberFormat="1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8" fillId="2" borderId="36" xfId="0" applyFont="1" applyFill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1" fontId="7" fillId="0" borderId="6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1" fontId="1" fillId="5" borderId="31" xfId="0" applyNumberFormat="1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/>
    </xf>
    <xf numFmtId="1" fontId="6" fillId="5" borderId="37" xfId="0" applyNumberFormat="1" applyFont="1" applyFill="1" applyBorder="1" applyAlignment="1">
      <alignment horizontal="center" vertical="center"/>
    </xf>
    <xf numFmtId="1" fontId="7" fillId="5" borderId="38" xfId="0" applyNumberFormat="1" applyFont="1" applyFill="1" applyBorder="1" applyAlignment="1">
      <alignment horizontal="center" vertical="center"/>
    </xf>
    <xf numFmtId="14" fontId="0" fillId="5" borderId="39" xfId="0" applyNumberFormat="1" applyFill="1" applyBorder="1" applyAlignment="1">
      <alignment horizontal="center" vertical="center"/>
    </xf>
    <xf numFmtId="14" fontId="0" fillId="2" borderId="40" xfId="0" applyNumberFormat="1" applyFill="1" applyBorder="1" applyAlignment="1">
      <alignment horizontal="center" vertical="center"/>
    </xf>
    <xf numFmtId="0" fontId="1" fillId="7" borderId="41" xfId="0" applyFont="1" applyFill="1" applyBorder="1" applyAlignment="1">
      <alignment horizontal="center" vertical="center" wrapText="1"/>
    </xf>
    <xf numFmtId="0" fontId="1" fillId="7" borderId="42" xfId="0" applyFont="1" applyFill="1" applyBorder="1" applyAlignment="1">
      <alignment horizontal="center" wrapText="1"/>
    </xf>
    <xf numFmtId="0" fontId="1" fillId="7" borderId="43" xfId="0" applyFont="1" applyFill="1" applyBorder="1" applyAlignment="1">
      <alignment horizontal="center" wrapText="1"/>
    </xf>
    <xf numFmtId="0" fontId="5" fillId="7" borderId="43" xfId="0" applyFont="1" applyFill="1" applyBorder="1" applyAlignment="1">
      <alignment horizontal="center" wrapText="1"/>
    </xf>
    <xf numFmtId="0" fontId="5" fillId="7" borderId="44" xfId="0" applyFont="1" applyFill="1" applyBorder="1" applyAlignment="1">
      <alignment horizontal="center" wrapText="1"/>
    </xf>
    <xf numFmtId="0" fontId="1" fillId="7" borderId="43" xfId="0" applyFont="1" applyFill="1" applyBorder="1" applyAlignment="1">
      <alignment horizontal="center" vertical="center" wrapText="1"/>
    </xf>
    <xf numFmtId="0" fontId="1" fillId="7" borderId="44" xfId="0" applyFont="1" applyFill="1" applyBorder="1" applyAlignment="1">
      <alignment horizontal="center" vertical="center" wrapText="1"/>
    </xf>
    <xf numFmtId="0" fontId="5" fillId="7" borderId="45" xfId="0" applyFont="1" applyFill="1" applyBorder="1" applyAlignment="1">
      <alignment horizontal="center" wrapText="1"/>
    </xf>
    <xf numFmtId="0" fontId="0" fillId="0" borderId="18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1" fontId="1" fillId="5" borderId="23" xfId="0" applyNumberFormat="1" applyFont="1" applyFill="1" applyBorder="1" applyAlignment="1">
      <alignment horizontal="center" vertical="center" wrapText="1"/>
    </xf>
    <xf numFmtId="1" fontId="1" fillId="2" borderId="23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  <xf numFmtId="1" fontId="3" fillId="4" borderId="28" xfId="0" applyNumberFormat="1" applyFont="1" applyFill="1" applyBorder="1" applyAlignment="1">
      <alignment horizontal="center" vertical="center"/>
    </xf>
    <xf numFmtId="1" fontId="1" fillId="4" borderId="28" xfId="0" applyNumberFormat="1" applyFont="1" applyFill="1" applyBorder="1" applyAlignment="1">
      <alignment horizontal="center" vertical="center"/>
    </xf>
    <xf numFmtId="1" fontId="6" fillId="4" borderId="28" xfId="0" applyNumberFormat="1" applyFont="1" applyFill="1" applyBorder="1" applyAlignment="1">
      <alignment horizontal="center" vertical="center"/>
    </xf>
    <xf numFmtId="1" fontId="7" fillId="4" borderId="28" xfId="0" applyNumberFormat="1" applyFont="1" applyFill="1" applyBorder="1" applyAlignment="1">
      <alignment horizontal="center" vertical="center"/>
    </xf>
    <xf numFmtId="0" fontId="1" fillId="4" borderId="28" xfId="0" applyFont="1" applyFill="1" applyBorder="1" applyAlignment="1">
      <alignment horizontal="center" vertical="center"/>
    </xf>
    <xf numFmtId="0" fontId="10" fillId="4" borderId="29" xfId="0" applyFont="1" applyFill="1" applyBorder="1" applyAlignment="1">
      <alignment horizontal="center" vertical="center"/>
    </xf>
    <xf numFmtId="0" fontId="8" fillId="5" borderId="46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4" borderId="48" xfId="0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" fontId="6" fillId="0" borderId="47" xfId="0" applyNumberFormat="1" applyFont="1" applyBorder="1" applyAlignment="1">
      <alignment horizontal="center" vertical="center"/>
    </xf>
    <xf numFmtId="0" fontId="1" fillId="7" borderId="51" xfId="0" applyFont="1" applyFill="1" applyBorder="1" applyAlignment="1">
      <alignment horizontal="center" vertical="center" wrapText="1"/>
    </xf>
    <xf numFmtId="0" fontId="1" fillId="7" borderId="50" xfId="0" applyFont="1" applyFill="1" applyBorder="1" applyAlignment="1">
      <alignment horizontal="center" wrapText="1"/>
    </xf>
    <xf numFmtId="0" fontId="5" fillId="7" borderId="50" xfId="0" applyFont="1" applyFill="1" applyBorder="1" applyAlignment="1">
      <alignment horizontal="center" wrapText="1"/>
    </xf>
    <xf numFmtId="0" fontId="1" fillId="7" borderId="50" xfId="0" applyFont="1" applyFill="1" applyBorder="1" applyAlignment="1">
      <alignment horizontal="center" vertical="center" wrapText="1"/>
    </xf>
    <xf numFmtId="0" fontId="5" fillId="7" borderId="52" xfId="0" applyFont="1" applyFill="1" applyBorder="1" applyAlignment="1">
      <alignment horizontal="center" wrapText="1"/>
    </xf>
    <xf numFmtId="0" fontId="0" fillId="0" borderId="53" xfId="0" applyBorder="1" applyAlignment="1">
      <alignment horizontal="center" vertical="center" wrapText="1"/>
    </xf>
    <xf numFmtId="1" fontId="0" fillId="0" borderId="54" xfId="0" applyNumberFormat="1" applyBorder="1" applyAlignment="1">
      <alignment horizontal="center" vertical="center" wrapText="1"/>
    </xf>
    <xf numFmtId="0" fontId="0" fillId="0" borderId="54" xfId="0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1" fontId="6" fillId="0" borderId="54" xfId="0" applyNumberFormat="1" applyFont="1" applyBorder="1" applyAlignment="1">
      <alignment horizontal="center" vertical="center"/>
    </xf>
    <xf numFmtId="0" fontId="8" fillId="0" borderId="54" xfId="0" applyFont="1" applyBorder="1" applyAlignment="1">
      <alignment horizontal="center" vertical="center"/>
    </xf>
    <xf numFmtId="0" fontId="0" fillId="0" borderId="56" xfId="0" applyBorder="1" applyAlignment="1">
      <alignment horizontal="center" vertical="center" wrapText="1"/>
    </xf>
    <xf numFmtId="0" fontId="8" fillId="0" borderId="57" xfId="0" applyFont="1" applyBorder="1" applyAlignment="1">
      <alignment horizontal="center" vertical="center"/>
    </xf>
    <xf numFmtId="0" fontId="0" fillId="0" borderId="58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/>
    </xf>
    <xf numFmtId="1" fontId="6" fillId="0" borderId="59" xfId="0" applyNumberFormat="1" applyFont="1" applyBorder="1" applyAlignment="1">
      <alignment horizontal="center" vertical="center"/>
    </xf>
    <xf numFmtId="1" fontId="1" fillId="5" borderId="48" xfId="0" applyNumberFormat="1" applyFont="1" applyFill="1" applyBorder="1" applyAlignment="1">
      <alignment horizontal="center" vertical="center" wrapText="1"/>
    </xf>
    <xf numFmtId="1" fontId="1" fillId="5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1" fontId="1" fillId="2" borderId="48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1" fontId="0" fillId="2" borderId="24" xfId="0" applyNumberFormat="1" applyFill="1" applyBorder="1" applyAlignment="1">
      <alignment horizontal="center" vertical="center"/>
    </xf>
    <xf numFmtId="1" fontId="7" fillId="0" borderId="59" xfId="0" applyNumberFormat="1" applyFont="1" applyBorder="1" applyAlignment="1">
      <alignment horizontal="center" vertical="center"/>
    </xf>
    <xf numFmtId="1" fontId="0" fillId="0" borderId="54" xfId="0" applyNumberFormat="1" applyBorder="1" applyAlignment="1">
      <alignment horizontal="center" vertical="center"/>
    </xf>
    <xf numFmtId="1" fontId="0" fillId="0" borderId="58" xfId="0" applyNumberFormat="1" applyBorder="1" applyAlignment="1">
      <alignment horizontal="center" vertical="center" wrapText="1"/>
    </xf>
    <xf numFmtId="1" fontId="1" fillId="5" borderId="1" xfId="0" applyNumberFormat="1" applyFont="1" applyFill="1" applyBorder="1" applyAlignment="1">
      <alignment horizontal="center" vertical="center"/>
    </xf>
    <xf numFmtId="1" fontId="8" fillId="0" borderId="59" xfId="0" applyNumberFormat="1" applyFont="1" applyBorder="1" applyAlignment="1">
      <alignment horizontal="center" vertical="center"/>
    </xf>
    <xf numFmtId="1" fontId="0" fillId="0" borderId="59" xfId="0" applyNumberFormat="1" applyBorder="1" applyAlignment="1">
      <alignment horizontal="center" vertical="center"/>
    </xf>
    <xf numFmtId="1" fontId="0" fillId="0" borderId="47" xfId="0" applyNumberFormat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8" fillId="0" borderId="60" xfId="0" applyNumberFormat="1" applyFont="1" applyBorder="1" applyAlignment="1">
      <alignment horizontal="center" vertical="center"/>
    </xf>
    <xf numFmtId="1" fontId="8" fillId="5" borderId="49" xfId="0" applyNumberFormat="1" applyFont="1" applyFill="1" applyBorder="1" applyAlignment="1">
      <alignment horizontal="center" vertical="center"/>
    </xf>
    <xf numFmtId="1" fontId="8" fillId="0" borderId="55" xfId="0" applyNumberFormat="1" applyFont="1" applyBorder="1" applyAlignment="1">
      <alignment horizontal="center" vertical="center"/>
    </xf>
    <xf numFmtId="1" fontId="8" fillId="4" borderId="49" xfId="0" applyNumberFormat="1" applyFont="1" applyFill="1" applyBorder="1" applyAlignment="1">
      <alignment horizontal="center" vertical="center"/>
    </xf>
    <xf numFmtId="1" fontId="7" fillId="5" borderId="1" xfId="0" applyNumberFormat="1" applyFont="1" applyFill="1" applyBorder="1" applyAlignment="1">
      <alignment horizontal="center" vertical="center"/>
    </xf>
    <xf numFmtId="1" fontId="7" fillId="0" borderId="54" xfId="0" applyNumberFormat="1" applyFont="1" applyBorder="1" applyAlignment="1">
      <alignment horizontal="center" vertical="center"/>
    </xf>
    <xf numFmtId="1" fontId="10" fillId="4" borderId="1" xfId="0" applyNumberFormat="1" applyFont="1" applyFill="1" applyBorder="1" applyAlignment="1">
      <alignment horizontal="center" vertical="center"/>
    </xf>
    <xf numFmtId="1" fontId="8" fillId="5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" fontId="8" fillId="2" borderId="49" xfId="0" applyNumberFormat="1" applyFont="1" applyFill="1" applyBorder="1" applyAlignment="1">
      <alignment horizontal="center" vertical="center"/>
    </xf>
    <xf numFmtId="1" fontId="6" fillId="5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1" fontId="8" fillId="0" borderId="57" xfId="0" applyNumberFormat="1" applyFont="1" applyBorder="1" applyAlignment="1">
      <alignment horizontal="center" vertical="center"/>
    </xf>
    <xf numFmtId="1" fontId="10" fillId="4" borderId="29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" fontId="12" fillId="4" borderId="29" xfId="0" applyNumberFormat="1" applyFont="1" applyFill="1" applyBorder="1" applyAlignment="1">
      <alignment horizontal="center" vertical="center"/>
    </xf>
    <xf numFmtId="14" fontId="0" fillId="5" borderId="2" xfId="0" applyNumberFormat="1" applyFill="1" applyBorder="1" applyAlignment="1">
      <alignment horizontal="center" vertical="center"/>
    </xf>
    <xf numFmtId="0" fontId="0" fillId="0" borderId="48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0" fontId="5" fillId="7" borderId="50" xfId="0" applyFont="1" applyFill="1" applyBorder="1" applyAlignment="1">
      <alignment horizontal="center" vertical="center" wrapText="1"/>
    </xf>
    <xf numFmtId="0" fontId="5" fillId="7" borderId="52" xfId="0" applyFont="1" applyFill="1" applyBorder="1" applyAlignment="1">
      <alignment horizontal="center" vertical="center" wrapText="1"/>
    </xf>
    <xf numFmtId="1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8" fillId="0" borderId="54" xfId="0" applyNumberFormat="1" applyFont="1" applyBorder="1" applyAlignment="1">
      <alignment horizontal="center" vertical="center"/>
    </xf>
    <xf numFmtId="1" fontId="8" fillId="0" borderId="49" xfId="0" applyNumberFormat="1" applyFont="1" applyBorder="1" applyAlignment="1">
      <alignment horizontal="center" vertical="center"/>
    </xf>
    <xf numFmtId="1" fontId="0" fillId="0" borderId="48" xfId="0" applyNumberForma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0" fillId="6" borderId="19" xfId="0" applyNumberForma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14" fillId="0" borderId="0" xfId="0" applyFont="1"/>
    <xf numFmtId="0" fontId="13" fillId="0" borderId="0" xfId="0" applyFont="1" applyAlignment="1">
      <alignment vertical="top"/>
    </xf>
    <xf numFmtId="0" fontId="9" fillId="0" borderId="1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center" vertical="center"/>
    </xf>
    <xf numFmtId="0" fontId="15" fillId="7" borderId="50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1" fontId="16" fillId="4" borderId="29" xfId="0" applyNumberFormat="1" applyFont="1" applyFill="1" applyBorder="1" applyAlignment="1">
      <alignment horizontal="center" vertical="center"/>
    </xf>
    <xf numFmtId="1" fontId="9" fillId="5" borderId="1" xfId="0" applyNumberFormat="1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" fontId="9" fillId="0" borderId="49" xfId="0" applyNumberFormat="1" applyFont="1" applyBorder="1" applyAlignment="1">
      <alignment horizontal="center" vertical="center"/>
    </xf>
    <xf numFmtId="1" fontId="10" fillId="5" borderId="1" xfId="0" applyNumberFormat="1" applyFont="1" applyFill="1" applyBorder="1" applyAlignment="1">
      <alignment horizontal="center" vertical="center"/>
    </xf>
    <xf numFmtId="1" fontId="10" fillId="4" borderId="28" xfId="0" applyNumberFormat="1" applyFont="1" applyFill="1" applyBorder="1" applyAlignment="1">
      <alignment horizontal="center" vertical="center"/>
    </xf>
    <xf numFmtId="1" fontId="10" fillId="2" borderId="1" xfId="0" applyNumberFormat="1" applyFont="1" applyFill="1" applyBorder="1" applyAlignment="1">
      <alignment horizontal="center" vertical="center"/>
    </xf>
    <xf numFmtId="0" fontId="17" fillId="0" borderId="0" xfId="0" applyFont="1"/>
    <xf numFmtId="164" fontId="4" fillId="6" borderId="41" xfId="0" applyNumberFormat="1" applyFont="1" applyFill="1" applyBorder="1" applyAlignment="1">
      <alignment horizontal="center" vertical="center" textRotation="90" wrapText="1"/>
    </xf>
    <xf numFmtId="164" fontId="4" fillId="6" borderId="63" xfId="0" applyNumberFormat="1" applyFont="1" applyFill="1" applyBorder="1" applyAlignment="1">
      <alignment horizontal="center" vertical="center" textRotation="90" wrapText="1"/>
    </xf>
    <xf numFmtId="1" fontId="17" fillId="0" borderId="0" xfId="0" applyNumberFormat="1" applyFont="1"/>
    <xf numFmtId="1" fontId="16" fillId="4" borderId="28" xfId="0" applyNumberFormat="1" applyFont="1" applyFill="1" applyBorder="1" applyAlignment="1">
      <alignment horizontal="center" vertical="center"/>
    </xf>
    <xf numFmtId="1" fontId="8" fillId="4" borderId="28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" fontId="17" fillId="0" borderId="1" xfId="0" applyNumberFormat="1" applyFont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61" xfId="0" applyFont="1" applyFill="1" applyBorder="1" applyAlignment="1">
      <alignment horizontal="center" vertical="center"/>
    </xf>
    <xf numFmtId="0" fontId="2" fillId="7" borderId="6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8"/>
  <sheetViews>
    <sheetView tabSelected="1" zoomScale="80" zoomScaleNormal="80" workbookViewId="0">
      <selection activeCell="AH5" sqref="AH5"/>
    </sheetView>
  </sheetViews>
  <sheetFormatPr baseColWidth="10" defaultRowHeight="14.5" x14ac:dyDescent="0.35"/>
  <cols>
    <col min="1" max="1" width="8.7265625" customWidth="1"/>
    <col min="2" max="31" width="3.90625" customWidth="1"/>
    <col min="32" max="32" width="2.26953125" customWidth="1"/>
    <col min="33" max="33" width="6.1796875" customWidth="1"/>
    <col min="34" max="41" width="9.1796875" customWidth="1"/>
  </cols>
  <sheetData>
    <row r="1" spans="1:47" ht="23.5" x14ac:dyDescent="0.35">
      <c r="A1" s="201" t="s">
        <v>43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202"/>
      <c r="AL1" s="202"/>
      <c r="AM1" s="202"/>
      <c r="AN1" s="202"/>
      <c r="AO1" s="202"/>
      <c r="AP1" s="202"/>
      <c r="AQ1" s="202"/>
      <c r="AR1" s="202"/>
    </row>
    <row r="2" spans="1:47" ht="9.5" customHeight="1" thickBot="1" x14ac:dyDescent="0.4"/>
    <row r="3" spans="1:47" ht="99.5" customHeight="1" thickTop="1" thickBot="1" x14ac:dyDescent="0.4">
      <c r="A3" s="1"/>
      <c r="B3" s="20">
        <v>45901</v>
      </c>
      <c r="C3" s="20">
        <v>45902</v>
      </c>
      <c r="D3" s="20">
        <v>45903</v>
      </c>
      <c r="E3" s="20">
        <v>45904</v>
      </c>
      <c r="F3" s="20">
        <v>45905</v>
      </c>
      <c r="G3" s="20">
        <v>45906</v>
      </c>
      <c r="H3" s="20">
        <v>45907</v>
      </c>
      <c r="I3" s="20">
        <v>45908</v>
      </c>
      <c r="J3" s="20">
        <v>45909</v>
      </c>
      <c r="K3" s="20">
        <v>45910</v>
      </c>
      <c r="L3" s="20">
        <v>45911</v>
      </c>
      <c r="M3" s="20">
        <v>45912</v>
      </c>
      <c r="N3" s="20">
        <v>45913</v>
      </c>
      <c r="O3" s="20">
        <v>45914</v>
      </c>
      <c r="P3" s="20">
        <v>45915</v>
      </c>
      <c r="Q3" s="20">
        <v>45916</v>
      </c>
      <c r="R3" s="20">
        <v>45917</v>
      </c>
      <c r="S3" s="20">
        <v>45918</v>
      </c>
      <c r="T3" s="20">
        <v>45919</v>
      </c>
      <c r="U3" s="20">
        <v>45920</v>
      </c>
      <c r="V3" s="20">
        <v>45921</v>
      </c>
      <c r="W3" s="20">
        <v>45922</v>
      </c>
      <c r="X3" s="20">
        <v>45923</v>
      </c>
      <c r="Y3" s="20">
        <v>45924</v>
      </c>
      <c r="Z3" s="20">
        <v>45925</v>
      </c>
      <c r="AA3" s="20">
        <v>45926</v>
      </c>
      <c r="AB3" s="20">
        <v>45927</v>
      </c>
      <c r="AC3" s="20">
        <v>45928</v>
      </c>
      <c r="AD3" s="20">
        <v>45929</v>
      </c>
      <c r="AE3" s="20">
        <v>45930</v>
      </c>
      <c r="AF3" s="3"/>
      <c r="AH3" s="104" t="s">
        <v>9</v>
      </c>
      <c r="AI3" s="105" t="s">
        <v>10</v>
      </c>
      <c r="AJ3" s="105" t="s">
        <v>17</v>
      </c>
      <c r="AK3" s="106" t="s">
        <v>11</v>
      </c>
      <c r="AL3" s="106" t="s">
        <v>12</v>
      </c>
      <c r="AM3" s="107" t="s">
        <v>44</v>
      </c>
      <c r="AN3" s="107" t="s">
        <v>45</v>
      </c>
      <c r="AO3" s="107" t="s">
        <v>16</v>
      </c>
      <c r="AP3" s="162" t="s">
        <v>21</v>
      </c>
      <c r="AQ3" s="162" t="s">
        <v>22</v>
      </c>
      <c r="AR3" s="163" t="s">
        <v>16</v>
      </c>
      <c r="AS3" s="153"/>
      <c r="AT3" s="153"/>
      <c r="AU3" s="153"/>
    </row>
    <row r="4" spans="1:47" ht="24" customHeight="1" thickTop="1" thickBot="1" x14ac:dyDescent="0.4">
      <c r="A4" s="23" t="s">
        <v>0</v>
      </c>
      <c r="B4" s="24">
        <v>0</v>
      </c>
      <c r="C4" s="25">
        <v>21</v>
      </c>
      <c r="D4" s="26">
        <v>0</v>
      </c>
      <c r="E4" s="26">
        <v>9</v>
      </c>
      <c r="F4" s="26">
        <v>21</v>
      </c>
      <c r="G4" s="172">
        <v>56</v>
      </c>
      <c r="H4" s="26">
        <v>15</v>
      </c>
      <c r="I4" s="26">
        <v>77</v>
      </c>
      <c r="J4" s="172">
        <v>28</v>
      </c>
      <c r="K4" s="172">
        <v>31</v>
      </c>
      <c r="L4" s="26">
        <v>2</v>
      </c>
      <c r="M4" s="26">
        <v>9</v>
      </c>
      <c r="N4" s="26">
        <v>26</v>
      </c>
      <c r="O4" s="26">
        <v>9</v>
      </c>
      <c r="P4" s="26">
        <v>0</v>
      </c>
      <c r="Q4" s="26">
        <v>22.5</v>
      </c>
      <c r="R4" s="26">
        <v>11</v>
      </c>
      <c r="S4" s="26">
        <v>6</v>
      </c>
      <c r="T4" s="26">
        <v>46</v>
      </c>
      <c r="U4" s="26">
        <v>34</v>
      </c>
      <c r="V4" s="26">
        <v>33</v>
      </c>
      <c r="W4" s="26">
        <v>3</v>
      </c>
      <c r="X4" s="26">
        <v>19</v>
      </c>
      <c r="Y4" s="26">
        <v>17</v>
      </c>
      <c r="Z4" s="26">
        <v>11</v>
      </c>
      <c r="AA4" s="26">
        <v>21</v>
      </c>
      <c r="AB4" s="26">
        <v>21</v>
      </c>
      <c r="AC4" s="26">
        <v>5</v>
      </c>
      <c r="AD4" s="25">
        <v>19</v>
      </c>
      <c r="AE4" s="50">
        <v>36</v>
      </c>
      <c r="AG4" s="155" t="s">
        <v>0</v>
      </c>
      <c r="AH4" s="170">
        <f>SUM(B4:AE4)</f>
        <v>608.5</v>
      </c>
      <c r="AI4" s="157">
        <f>AVERAGE(B4:AE4)</f>
        <v>20.283333333333335</v>
      </c>
      <c r="AJ4" s="5">
        <v>18</v>
      </c>
      <c r="AK4" s="200">
        <f>AE4-AJ4</f>
        <v>18</v>
      </c>
      <c r="AL4" s="160">
        <f>AI4-AJ4</f>
        <v>2.283333333333335</v>
      </c>
      <c r="AM4" s="158">
        <f>AH4</f>
        <v>608.5</v>
      </c>
      <c r="AN4" s="5">
        <v>452</v>
      </c>
      <c r="AO4" s="160">
        <f>AM4-AN4</f>
        <v>156.5</v>
      </c>
      <c r="AP4" s="158">
        <f>'Juillet 25  '!AQ4+'Septembre 25'!AM4</f>
        <v>4869.79</v>
      </c>
      <c r="AQ4" s="5">
        <f>'Juillet 25  '!AR4+'Septembre 25'!AN4</f>
        <v>4827</v>
      </c>
      <c r="AR4" s="169">
        <f>AP4-AQ4</f>
        <v>42.789999999999964</v>
      </c>
    </row>
    <row r="5" spans="1:47" ht="24" customHeight="1" thickBot="1" x14ac:dyDescent="0.4">
      <c r="A5" s="27" t="s">
        <v>1</v>
      </c>
      <c r="B5" s="17">
        <v>31</v>
      </c>
      <c r="C5" s="5">
        <v>147</v>
      </c>
      <c r="D5" s="6">
        <v>19</v>
      </c>
      <c r="E5" s="6">
        <v>150</v>
      </c>
      <c r="F5" s="6">
        <v>124</v>
      </c>
      <c r="G5" s="6">
        <v>38</v>
      </c>
      <c r="H5" s="6">
        <v>11</v>
      </c>
      <c r="I5" s="6">
        <v>53</v>
      </c>
      <c r="J5" s="6">
        <v>0</v>
      </c>
      <c r="K5" s="6">
        <v>0</v>
      </c>
      <c r="L5" s="6">
        <v>3</v>
      </c>
      <c r="M5" s="6">
        <v>3</v>
      </c>
      <c r="N5" s="6">
        <v>15</v>
      </c>
      <c r="O5" s="6">
        <v>8</v>
      </c>
      <c r="P5" s="6">
        <v>79</v>
      </c>
      <c r="Q5" s="6">
        <v>0</v>
      </c>
      <c r="R5" s="6">
        <v>9</v>
      </c>
      <c r="S5" s="6">
        <v>45</v>
      </c>
      <c r="T5" s="6">
        <v>4</v>
      </c>
      <c r="U5" s="6">
        <v>66</v>
      </c>
      <c r="V5" s="6">
        <v>83</v>
      </c>
      <c r="W5" s="6">
        <v>24</v>
      </c>
      <c r="X5" s="6">
        <v>50</v>
      </c>
      <c r="Y5" s="6">
        <v>31</v>
      </c>
      <c r="Z5" s="6">
        <v>46</v>
      </c>
      <c r="AA5" s="6">
        <v>26</v>
      </c>
      <c r="AB5" s="6">
        <v>9</v>
      </c>
      <c r="AC5" s="6">
        <v>34</v>
      </c>
      <c r="AD5" s="5">
        <v>0</v>
      </c>
      <c r="AE5" s="13">
        <v>19</v>
      </c>
      <c r="AG5" s="155" t="s">
        <v>1</v>
      </c>
      <c r="AH5" s="156">
        <f>SUM(B5:AE5)</f>
        <v>1127</v>
      </c>
      <c r="AI5" s="157">
        <f>AVERAGE(B5:AE5)</f>
        <v>37.56666666666667</v>
      </c>
      <c r="AJ5" s="5">
        <v>18</v>
      </c>
      <c r="AK5" s="200">
        <f t="shared" ref="AK5:AK13" si="0">AE5-AJ5</f>
        <v>1</v>
      </c>
      <c r="AL5" s="160">
        <f>AI5-AJ5</f>
        <v>19.56666666666667</v>
      </c>
      <c r="AM5" s="5">
        <f>AH5</f>
        <v>1127</v>
      </c>
      <c r="AN5" s="5">
        <v>489</v>
      </c>
      <c r="AO5" s="182">
        <f t="shared" ref="AO5:AO6" si="1">AM5-AN5</f>
        <v>638</v>
      </c>
      <c r="AP5" s="158">
        <f>'Juillet 25  '!AQ5+'Septembre 25'!AM5</f>
        <v>7429</v>
      </c>
      <c r="AQ5" s="5">
        <f>'Juillet 25  '!AR5+'Septembre 25'!AN5</f>
        <v>4911</v>
      </c>
      <c r="AR5" s="169">
        <f t="shared" ref="AR5:AR10" si="2">AP5-AQ5</f>
        <v>2518</v>
      </c>
    </row>
    <row r="6" spans="1:47" ht="24" customHeight="1" thickBot="1" x14ac:dyDescent="0.4">
      <c r="A6" s="27" t="s">
        <v>2</v>
      </c>
      <c r="B6" s="17">
        <v>34</v>
      </c>
      <c r="C6" s="5">
        <v>21</v>
      </c>
      <c r="D6" s="6">
        <v>12</v>
      </c>
      <c r="E6" s="6">
        <v>2</v>
      </c>
      <c r="F6" s="6">
        <v>8</v>
      </c>
      <c r="G6" s="6">
        <v>36</v>
      </c>
      <c r="H6" s="6">
        <v>67</v>
      </c>
      <c r="I6" s="6">
        <v>257</v>
      </c>
      <c r="J6" s="6">
        <v>0</v>
      </c>
      <c r="K6" s="6">
        <v>0</v>
      </c>
      <c r="L6" s="6">
        <v>0</v>
      </c>
      <c r="M6" s="6">
        <v>42</v>
      </c>
      <c r="N6" s="6">
        <v>36</v>
      </c>
      <c r="O6" s="6">
        <v>18</v>
      </c>
      <c r="P6" s="6">
        <v>68</v>
      </c>
      <c r="Q6" s="6">
        <v>17</v>
      </c>
      <c r="R6" s="6">
        <v>77</v>
      </c>
      <c r="S6" s="6">
        <v>259</v>
      </c>
      <c r="T6" s="6">
        <v>46</v>
      </c>
      <c r="U6" s="6">
        <v>30</v>
      </c>
      <c r="V6" s="6">
        <v>43</v>
      </c>
      <c r="W6" s="6">
        <v>115</v>
      </c>
      <c r="X6" s="6">
        <v>16</v>
      </c>
      <c r="Y6" s="6">
        <v>6</v>
      </c>
      <c r="Z6" s="6">
        <v>35</v>
      </c>
      <c r="AA6" s="6">
        <v>37</v>
      </c>
      <c r="AB6" s="6">
        <v>63</v>
      </c>
      <c r="AC6" s="6">
        <v>8</v>
      </c>
      <c r="AD6" s="5">
        <v>4</v>
      </c>
      <c r="AE6" s="13">
        <v>34</v>
      </c>
      <c r="AG6" s="155" t="s">
        <v>2</v>
      </c>
      <c r="AH6" s="170">
        <f>SUM(B6:AE6)</f>
        <v>1391</v>
      </c>
      <c r="AI6" s="157">
        <f>AVERAGE(B6:AE6)</f>
        <v>46.366666666666667</v>
      </c>
      <c r="AJ6" s="5">
        <v>18</v>
      </c>
      <c r="AK6" s="200">
        <f t="shared" si="0"/>
        <v>16</v>
      </c>
      <c r="AL6" s="160">
        <f t="shared" ref="AL6:AL10" si="3">AI6-AJ6</f>
        <v>28.366666666666667</v>
      </c>
      <c r="AM6" s="158">
        <f>AH6</f>
        <v>1391</v>
      </c>
      <c r="AN6" s="5">
        <v>492</v>
      </c>
      <c r="AO6" s="160">
        <f t="shared" si="1"/>
        <v>899</v>
      </c>
      <c r="AP6" s="158">
        <f>'Juillet 25  '!AQ6+'Septembre 25'!AM6</f>
        <v>6692.37</v>
      </c>
      <c r="AQ6" s="5">
        <f>'Juillet 25  '!AR6+'Septembre 25'!AN6</f>
        <v>2792</v>
      </c>
      <c r="AR6" s="169">
        <f t="shared" si="2"/>
        <v>3900.37</v>
      </c>
    </row>
    <row r="7" spans="1:47" ht="29" customHeight="1" thickBot="1" x14ac:dyDescent="0.4">
      <c r="A7" s="28" t="s">
        <v>13</v>
      </c>
      <c r="B7" s="29">
        <f>AVERAGE(B4:B6)</f>
        <v>21.666666666666668</v>
      </c>
      <c r="C7" s="29">
        <f t="shared" ref="C7:AE7" si="4">AVERAGE(C4:C6)</f>
        <v>63</v>
      </c>
      <c r="D7" s="29">
        <f t="shared" si="4"/>
        <v>10.333333333333334</v>
      </c>
      <c r="E7" s="29">
        <f t="shared" si="4"/>
        <v>53.666666666666664</v>
      </c>
      <c r="F7" s="29">
        <f t="shared" si="4"/>
        <v>51</v>
      </c>
      <c r="G7" s="29">
        <f t="shared" si="4"/>
        <v>43.333333333333336</v>
      </c>
      <c r="H7" s="29">
        <f t="shared" si="4"/>
        <v>31</v>
      </c>
      <c r="I7" s="29">
        <f t="shared" si="4"/>
        <v>129</v>
      </c>
      <c r="J7" s="29">
        <f t="shared" si="4"/>
        <v>9.3333333333333339</v>
      </c>
      <c r="K7" s="29">
        <f t="shared" si="4"/>
        <v>10.333333333333334</v>
      </c>
      <c r="L7" s="29">
        <f t="shared" si="4"/>
        <v>1.6666666666666667</v>
      </c>
      <c r="M7" s="29">
        <f t="shared" si="4"/>
        <v>18</v>
      </c>
      <c r="N7" s="29">
        <f t="shared" si="4"/>
        <v>25.666666666666668</v>
      </c>
      <c r="O7" s="29">
        <f t="shared" si="4"/>
        <v>11.666666666666666</v>
      </c>
      <c r="P7" s="29">
        <f t="shared" si="4"/>
        <v>49</v>
      </c>
      <c r="Q7" s="29">
        <f t="shared" si="4"/>
        <v>13.166666666666666</v>
      </c>
      <c r="R7" s="29">
        <f t="shared" si="4"/>
        <v>32.333333333333336</v>
      </c>
      <c r="S7" s="29">
        <f t="shared" si="4"/>
        <v>103.33333333333333</v>
      </c>
      <c r="T7" s="29">
        <f t="shared" si="4"/>
        <v>32</v>
      </c>
      <c r="U7" s="29">
        <f t="shared" si="4"/>
        <v>43.333333333333336</v>
      </c>
      <c r="V7" s="29">
        <f t="shared" si="4"/>
        <v>53</v>
      </c>
      <c r="W7" s="29">
        <f t="shared" si="4"/>
        <v>47.333333333333336</v>
      </c>
      <c r="X7" s="29">
        <f t="shared" si="4"/>
        <v>28.333333333333332</v>
      </c>
      <c r="Y7" s="29">
        <f t="shared" si="4"/>
        <v>18</v>
      </c>
      <c r="Z7" s="29">
        <f t="shared" si="4"/>
        <v>30.666666666666668</v>
      </c>
      <c r="AA7" s="29">
        <f t="shared" si="4"/>
        <v>28</v>
      </c>
      <c r="AB7" s="29">
        <f t="shared" si="4"/>
        <v>31</v>
      </c>
      <c r="AC7" s="29">
        <f t="shared" si="4"/>
        <v>15.666666666666666</v>
      </c>
      <c r="AD7" s="29">
        <f t="shared" si="4"/>
        <v>7.666666666666667</v>
      </c>
      <c r="AE7" s="29">
        <f t="shared" si="4"/>
        <v>29.666666666666668</v>
      </c>
      <c r="AG7" s="155" t="s">
        <v>6</v>
      </c>
      <c r="AH7" s="120">
        <f>AVERAGE(AH4:AH6)</f>
        <v>1042.1666666666667</v>
      </c>
      <c r="AI7" s="121">
        <f>AVERAGE(AI4:AI6)</f>
        <v>34.738888888888887</v>
      </c>
      <c r="AJ7" s="122">
        <v>18</v>
      </c>
      <c r="AK7" s="144">
        <f t="shared" si="0"/>
        <v>11.666666666666668</v>
      </c>
      <c r="AL7" s="141">
        <f t="shared" si="3"/>
        <v>16.738888888888887</v>
      </c>
      <c r="AM7" s="132">
        <f>SUM(AM4:AM6)</f>
        <v>3126.5</v>
      </c>
      <c r="AN7" s="132">
        <f>SUM(AN4:AN6)</f>
        <v>1433</v>
      </c>
      <c r="AO7" s="141">
        <f>AM7-AN7</f>
        <v>1693.5</v>
      </c>
      <c r="AP7" s="132">
        <f>'Juillet 25  '!AQ7+'Septembre 25'!AM7</f>
        <v>18991.16</v>
      </c>
      <c r="AQ7" s="132">
        <f>'Juillet 25  '!AR7+'Septembre 25'!AN7</f>
        <v>12530</v>
      </c>
      <c r="AR7" s="138">
        <f t="shared" si="2"/>
        <v>6461.16</v>
      </c>
    </row>
    <row r="8" spans="1:47" ht="24" customHeight="1" thickTop="1" thickBot="1" x14ac:dyDescent="0.4">
      <c r="A8" s="33" t="s">
        <v>3</v>
      </c>
      <c r="B8" s="95">
        <v>0</v>
      </c>
      <c r="C8" s="26">
        <v>53</v>
      </c>
      <c r="D8" s="26">
        <v>0</v>
      </c>
      <c r="E8" s="26">
        <v>0</v>
      </c>
      <c r="F8" s="26">
        <v>264</v>
      </c>
      <c r="G8" s="172">
        <v>271</v>
      </c>
      <c r="H8" s="26">
        <v>420</v>
      </c>
      <c r="I8" s="26">
        <v>0</v>
      </c>
      <c r="J8" s="172">
        <v>154</v>
      </c>
      <c r="K8" s="26">
        <v>23</v>
      </c>
      <c r="L8" s="26">
        <v>0</v>
      </c>
      <c r="M8" s="26">
        <v>19</v>
      </c>
      <c r="N8" s="26">
        <v>59</v>
      </c>
      <c r="O8" s="26">
        <v>0</v>
      </c>
      <c r="P8" s="26">
        <v>0</v>
      </c>
      <c r="Q8" s="26">
        <v>26</v>
      </c>
      <c r="R8" s="26">
        <v>40</v>
      </c>
      <c r="S8" s="26">
        <v>100</v>
      </c>
      <c r="T8" s="26">
        <v>17</v>
      </c>
      <c r="U8" s="26">
        <v>0</v>
      </c>
      <c r="V8" s="26">
        <v>24</v>
      </c>
      <c r="W8" s="26">
        <v>18</v>
      </c>
      <c r="X8" s="26">
        <v>0</v>
      </c>
      <c r="Y8" s="26">
        <v>75</v>
      </c>
      <c r="Z8" s="26">
        <v>146</v>
      </c>
      <c r="AA8" s="26">
        <v>33</v>
      </c>
      <c r="AB8" s="26">
        <v>11</v>
      </c>
      <c r="AC8" s="26">
        <v>27</v>
      </c>
      <c r="AD8" s="25">
        <v>53</v>
      </c>
      <c r="AE8" s="50">
        <v>15</v>
      </c>
      <c r="AG8" s="161" t="s">
        <v>3</v>
      </c>
      <c r="AH8" s="170">
        <f>SUM(B8:AE8)</f>
        <v>1848</v>
      </c>
      <c r="AI8" s="157">
        <f>AVERAGE(B8:AE8)</f>
        <v>61.6</v>
      </c>
      <c r="AJ8" s="5">
        <v>18</v>
      </c>
      <c r="AK8" s="198">
        <f t="shared" si="0"/>
        <v>-3</v>
      </c>
      <c r="AL8" s="160">
        <f t="shared" si="3"/>
        <v>43.6</v>
      </c>
      <c r="AM8" s="158">
        <f>AH8</f>
        <v>1848</v>
      </c>
      <c r="AN8" s="5">
        <v>352</v>
      </c>
      <c r="AO8" s="160">
        <f>AM8-AN8</f>
        <v>1496</v>
      </c>
      <c r="AP8" s="158">
        <f>'Juillet 25  '!AQ8+'Septembre 25'!AM8</f>
        <v>4893.7</v>
      </c>
      <c r="AQ8" s="5">
        <f>'Juillet 25  '!AR8+'Septembre 25'!AN8</f>
        <v>1949</v>
      </c>
      <c r="AR8" s="169">
        <f t="shared" si="2"/>
        <v>2944.7</v>
      </c>
    </row>
    <row r="9" spans="1:47" ht="24" customHeight="1" thickBot="1" x14ac:dyDescent="0.4">
      <c r="A9" s="36" t="s">
        <v>4</v>
      </c>
      <c r="B9" s="96">
        <v>0</v>
      </c>
      <c r="C9" s="6">
        <v>244</v>
      </c>
      <c r="D9" s="6">
        <v>0</v>
      </c>
      <c r="E9" s="6">
        <v>0</v>
      </c>
      <c r="F9" s="6">
        <v>140</v>
      </c>
      <c r="G9" s="6">
        <v>129</v>
      </c>
      <c r="H9" s="6">
        <v>178</v>
      </c>
      <c r="I9" s="6">
        <v>55</v>
      </c>
      <c r="J9" s="6">
        <v>58</v>
      </c>
      <c r="K9" s="6">
        <v>59</v>
      </c>
      <c r="L9" s="6">
        <v>18</v>
      </c>
      <c r="M9" s="6">
        <v>30</v>
      </c>
      <c r="N9" s="6">
        <v>27</v>
      </c>
      <c r="O9" s="6">
        <v>202</v>
      </c>
      <c r="P9" s="6">
        <v>0</v>
      </c>
      <c r="Q9" s="6">
        <v>38</v>
      </c>
      <c r="R9" s="6">
        <v>20</v>
      </c>
      <c r="S9" s="6">
        <v>36</v>
      </c>
      <c r="T9" s="6">
        <v>0</v>
      </c>
      <c r="U9" s="6">
        <v>12</v>
      </c>
      <c r="V9" s="6">
        <v>58</v>
      </c>
      <c r="W9" s="6">
        <v>54</v>
      </c>
      <c r="X9" s="6">
        <v>75</v>
      </c>
      <c r="Y9" s="6">
        <v>94</v>
      </c>
      <c r="Z9" s="6">
        <v>3</v>
      </c>
      <c r="AA9" s="6">
        <v>107</v>
      </c>
      <c r="AB9" s="6">
        <v>96</v>
      </c>
      <c r="AC9" s="6">
        <v>55</v>
      </c>
      <c r="AD9" s="5">
        <v>0</v>
      </c>
      <c r="AE9" s="13">
        <v>30</v>
      </c>
      <c r="AG9" s="161" t="s">
        <v>4</v>
      </c>
      <c r="AH9" s="156">
        <f>SUM(B9:AE9)</f>
        <v>1818</v>
      </c>
      <c r="AI9" s="157">
        <f>AVERAGE(B9:AE9)</f>
        <v>60.6</v>
      </c>
      <c r="AJ9" s="5">
        <v>18</v>
      </c>
      <c r="AK9" s="200">
        <f t="shared" si="0"/>
        <v>12</v>
      </c>
      <c r="AL9" s="160">
        <f t="shared" si="3"/>
        <v>42.6</v>
      </c>
      <c r="AM9" s="5">
        <f>AH9</f>
        <v>1818</v>
      </c>
      <c r="AN9" s="5">
        <v>739</v>
      </c>
      <c r="AO9" s="182">
        <f>AM9-AN9</f>
        <v>1079</v>
      </c>
      <c r="AP9" s="158">
        <f>'Juillet 25  '!AQ9+'Septembre 25'!AM9</f>
        <v>5975</v>
      </c>
      <c r="AQ9" s="5">
        <f>'Juillet 25  '!AR9+'Septembre 25'!AN9</f>
        <v>4795</v>
      </c>
      <c r="AR9" s="169">
        <f t="shared" si="2"/>
        <v>1180</v>
      </c>
    </row>
    <row r="10" spans="1:47" ht="24" customHeight="1" thickBot="1" x14ac:dyDescent="0.4">
      <c r="A10" s="36" t="s">
        <v>5</v>
      </c>
      <c r="B10" s="97">
        <v>0</v>
      </c>
      <c r="C10" s="6">
        <v>36</v>
      </c>
      <c r="D10" s="6">
        <v>0</v>
      </c>
      <c r="E10" s="6">
        <v>0</v>
      </c>
      <c r="F10" s="6">
        <v>30</v>
      </c>
      <c r="G10" s="6">
        <v>150</v>
      </c>
      <c r="H10" s="6">
        <v>65</v>
      </c>
      <c r="I10" s="6">
        <v>45</v>
      </c>
      <c r="J10" s="6">
        <v>8</v>
      </c>
      <c r="K10" s="6">
        <v>42</v>
      </c>
      <c r="L10" s="6">
        <v>14</v>
      </c>
      <c r="M10" s="6">
        <v>0</v>
      </c>
      <c r="N10" s="6">
        <v>0</v>
      </c>
      <c r="O10" s="6">
        <v>190</v>
      </c>
      <c r="P10" s="6">
        <v>4</v>
      </c>
      <c r="Q10" s="6">
        <v>3</v>
      </c>
      <c r="R10" s="6">
        <v>21</v>
      </c>
      <c r="S10" s="6">
        <v>12</v>
      </c>
      <c r="T10" s="6">
        <v>42</v>
      </c>
      <c r="U10" s="6">
        <v>20</v>
      </c>
      <c r="V10" s="6">
        <v>0</v>
      </c>
      <c r="W10" s="6">
        <v>0</v>
      </c>
      <c r="X10" s="6">
        <v>13</v>
      </c>
      <c r="Y10" s="6">
        <v>11</v>
      </c>
      <c r="Z10" s="6">
        <v>6</v>
      </c>
      <c r="AA10" s="6">
        <v>0</v>
      </c>
      <c r="AB10" s="6">
        <v>0</v>
      </c>
      <c r="AC10" s="6">
        <v>5</v>
      </c>
      <c r="AD10" s="5">
        <v>9</v>
      </c>
      <c r="AE10" s="13">
        <v>8</v>
      </c>
      <c r="AG10" s="161" t="s">
        <v>5</v>
      </c>
      <c r="AH10" s="156">
        <f>SUM(B10:AE10)</f>
        <v>734</v>
      </c>
      <c r="AI10" s="157">
        <f>AVERAGE(B10:AE10)</f>
        <v>24.466666666666665</v>
      </c>
      <c r="AJ10" s="5">
        <v>18</v>
      </c>
      <c r="AK10" s="198">
        <f t="shared" si="0"/>
        <v>-10</v>
      </c>
      <c r="AL10" s="160">
        <f t="shared" si="3"/>
        <v>6.466666666666665</v>
      </c>
      <c r="AM10" s="5">
        <f>AH10</f>
        <v>734</v>
      </c>
      <c r="AN10" s="5">
        <v>611</v>
      </c>
      <c r="AO10" s="182">
        <f t="shared" ref="AO10" si="5">AM10-AN10</f>
        <v>123</v>
      </c>
      <c r="AP10" s="158">
        <f>'Juillet 25  '!AQ10+'Septembre 25'!AM10</f>
        <v>3990</v>
      </c>
      <c r="AQ10" s="5">
        <f>'Juillet 25  '!AR10+'Septembre 25'!AN10</f>
        <v>2409</v>
      </c>
      <c r="AR10" s="169">
        <f t="shared" si="2"/>
        <v>1581</v>
      </c>
    </row>
    <row r="11" spans="1:47" ht="24" customHeight="1" thickBot="1" x14ac:dyDescent="0.4">
      <c r="A11" s="37" t="s">
        <v>7</v>
      </c>
      <c r="B11" s="128">
        <f>AVERAGE(B8:B10)</f>
        <v>0</v>
      </c>
      <c r="C11" s="128">
        <f>AVERAGE(C8:C10)</f>
        <v>111</v>
      </c>
      <c r="D11" s="38">
        <f t="shared" ref="D11:AE11" si="6">AVERAGE(D8:D10)</f>
        <v>0</v>
      </c>
      <c r="E11" s="128">
        <f t="shared" si="6"/>
        <v>0</v>
      </c>
      <c r="F11" s="128">
        <f t="shared" si="6"/>
        <v>144.66666666666666</v>
      </c>
      <c r="G11" s="128">
        <f t="shared" si="6"/>
        <v>183.33333333333334</v>
      </c>
      <c r="H11" s="128">
        <f t="shared" si="6"/>
        <v>221</v>
      </c>
      <c r="I11" s="128">
        <f t="shared" si="6"/>
        <v>33.333333333333336</v>
      </c>
      <c r="J11" s="128">
        <f t="shared" si="6"/>
        <v>73.333333333333329</v>
      </c>
      <c r="K11" s="128">
        <f t="shared" si="6"/>
        <v>41.333333333333336</v>
      </c>
      <c r="L11" s="128">
        <f t="shared" si="6"/>
        <v>10.666666666666666</v>
      </c>
      <c r="M11" s="128">
        <f t="shared" si="6"/>
        <v>16.333333333333332</v>
      </c>
      <c r="N11" s="128">
        <f t="shared" si="6"/>
        <v>28.666666666666668</v>
      </c>
      <c r="O11" s="128">
        <f t="shared" si="6"/>
        <v>130.66666666666666</v>
      </c>
      <c r="P11" s="128">
        <f t="shared" si="6"/>
        <v>1.3333333333333333</v>
      </c>
      <c r="Q11" s="128">
        <f t="shared" si="6"/>
        <v>22.333333333333332</v>
      </c>
      <c r="R11" s="128">
        <f t="shared" si="6"/>
        <v>27</v>
      </c>
      <c r="S11" s="128">
        <f t="shared" si="6"/>
        <v>49.333333333333336</v>
      </c>
      <c r="T11" s="128">
        <f t="shared" si="6"/>
        <v>19.666666666666668</v>
      </c>
      <c r="U11" s="128">
        <f t="shared" si="6"/>
        <v>10.666666666666666</v>
      </c>
      <c r="V11" s="128">
        <f t="shared" si="6"/>
        <v>27.333333333333332</v>
      </c>
      <c r="W11" s="128">
        <f t="shared" si="6"/>
        <v>24</v>
      </c>
      <c r="X11" s="128">
        <f t="shared" si="6"/>
        <v>29.333333333333332</v>
      </c>
      <c r="Y11" s="128">
        <f t="shared" si="6"/>
        <v>60</v>
      </c>
      <c r="Z11" s="128">
        <f t="shared" si="6"/>
        <v>51.666666666666664</v>
      </c>
      <c r="AA11" s="128">
        <f t="shared" si="6"/>
        <v>46.666666666666664</v>
      </c>
      <c r="AB11" s="128">
        <f t="shared" si="6"/>
        <v>35.666666666666664</v>
      </c>
      <c r="AC11" s="128">
        <f t="shared" si="6"/>
        <v>29</v>
      </c>
      <c r="AD11" s="128">
        <f t="shared" si="6"/>
        <v>20.666666666666668</v>
      </c>
      <c r="AE11" s="128">
        <f t="shared" si="6"/>
        <v>17.666666666666668</v>
      </c>
      <c r="AG11" s="161" t="s">
        <v>7</v>
      </c>
      <c r="AH11" s="123">
        <f>AVERAGE(AH8:AH10)</f>
        <v>1466.6666666666667</v>
      </c>
      <c r="AI11" s="124">
        <f>AVERAGE(AI8:AI10)</f>
        <v>48.888888888888886</v>
      </c>
      <c r="AJ11" s="125">
        <v>18</v>
      </c>
      <c r="AK11" s="180">
        <f t="shared" si="0"/>
        <v>-0.33333333333333215</v>
      </c>
      <c r="AL11" s="174">
        <f>AI11-AJ11</f>
        <v>30.888888888888886</v>
      </c>
      <c r="AM11" s="136">
        <f>SUM(AM8:AM10)</f>
        <v>4400</v>
      </c>
      <c r="AN11" s="136">
        <f>SUM(AN8:AN10)</f>
        <v>1702</v>
      </c>
      <c r="AO11" s="174">
        <f>AM11-AN11</f>
        <v>2698</v>
      </c>
      <c r="AP11" s="136">
        <f>'Juillet 25  '!AQ11+'Septembre 25'!AM11</f>
        <v>14858.7</v>
      </c>
      <c r="AQ11" s="136">
        <f>'Juillet 25  '!AR11+'Septembre 25'!AN11</f>
        <v>9147</v>
      </c>
      <c r="AR11" s="146">
        <f>AP11-AQ11</f>
        <v>5711.7000000000007</v>
      </c>
    </row>
    <row r="12" spans="1:47" ht="9.5" customHeight="1" thickTop="1" thickBot="1" x14ac:dyDescent="0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I12" s="4"/>
      <c r="AJ12" s="7"/>
      <c r="AK12" s="199"/>
      <c r="AL12" s="194"/>
      <c r="AM12" s="10"/>
      <c r="AO12" s="191"/>
      <c r="AP12" s="158"/>
      <c r="AQ12" s="5"/>
    </row>
    <row r="13" spans="1:47" ht="59" customHeight="1" thickTop="1" thickBot="1" x14ac:dyDescent="0.4">
      <c r="A13" s="42" t="s">
        <v>8</v>
      </c>
      <c r="B13" s="43">
        <f>AVERAGE(B11,B7)</f>
        <v>10.833333333333334</v>
      </c>
      <c r="C13" s="43">
        <f t="shared" ref="C13:AE13" si="7">AVERAGE(C11,C7)</f>
        <v>87</v>
      </c>
      <c r="D13" s="43">
        <f t="shared" si="7"/>
        <v>5.166666666666667</v>
      </c>
      <c r="E13" s="43">
        <f t="shared" si="7"/>
        <v>26.833333333333332</v>
      </c>
      <c r="F13" s="43">
        <f t="shared" si="7"/>
        <v>97.833333333333329</v>
      </c>
      <c r="G13" s="43">
        <f t="shared" si="7"/>
        <v>113.33333333333334</v>
      </c>
      <c r="H13" s="43">
        <f t="shared" si="7"/>
        <v>126</v>
      </c>
      <c r="I13" s="43">
        <f t="shared" si="7"/>
        <v>81.166666666666671</v>
      </c>
      <c r="J13" s="43">
        <f t="shared" si="7"/>
        <v>41.333333333333329</v>
      </c>
      <c r="K13" s="43">
        <f t="shared" si="7"/>
        <v>25.833333333333336</v>
      </c>
      <c r="L13" s="43">
        <f t="shared" si="7"/>
        <v>6.1666666666666661</v>
      </c>
      <c r="M13" s="43">
        <f t="shared" si="7"/>
        <v>17.166666666666664</v>
      </c>
      <c r="N13" s="43">
        <f t="shared" si="7"/>
        <v>27.166666666666668</v>
      </c>
      <c r="O13" s="43">
        <f t="shared" si="7"/>
        <v>71.166666666666657</v>
      </c>
      <c r="P13" s="43">
        <f t="shared" si="7"/>
        <v>25.166666666666668</v>
      </c>
      <c r="Q13" s="43">
        <f t="shared" si="7"/>
        <v>17.75</v>
      </c>
      <c r="R13" s="43">
        <f t="shared" si="7"/>
        <v>29.666666666666668</v>
      </c>
      <c r="S13" s="43">
        <f t="shared" si="7"/>
        <v>76.333333333333329</v>
      </c>
      <c r="T13" s="43">
        <f t="shared" si="7"/>
        <v>25.833333333333336</v>
      </c>
      <c r="U13" s="43">
        <f t="shared" si="7"/>
        <v>27</v>
      </c>
      <c r="V13" s="43">
        <f t="shared" si="7"/>
        <v>40.166666666666664</v>
      </c>
      <c r="W13" s="43">
        <f t="shared" si="7"/>
        <v>35.666666666666671</v>
      </c>
      <c r="X13" s="43">
        <f t="shared" si="7"/>
        <v>28.833333333333332</v>
      </c>
      <c r="Y13" s="43">
        <f t="shared" si="7"/>
        <v>39</v>
      </c>
      <c r="Z13" s="43">
        <f t="shared" si="7"/>
        <v>41.166666666666664</v>
      </c>
      <c r="AA13" s="43">
        <f t="shared" si="7"/>
        <v>37.333333333333329</v>
      </c>
      <c r="AB13" s="43">
        <f t="shared" si="7"/>
        <v>33.333333333333329</v>
      </c>
      <c r="AC13" s="43">
        <f t="shared" si="7"/>
        <v>22.333333333333332</v>
      </c>
      <c r="AD13" s="43">
        <f t="shared" si="7"/>
        <v>14.166666666666668</v>
      </c>
      <c r="AE13" s="43">
        <f t="shared" si="7"/>
        <v>23.666666666666668</v>
      </c>
      <c r="AG13" s="85" t="s">
        <v>8</v>
      </c>
      <c r="AH13" s="86">
        <f>AVERAGE(AH11,AH7)</f>
        <v>1254.4166666666667</v>
      </c>
      <c r="AI13" s="86">
        <f>AVERAGE(AI11,AI7)</f>
        <v>41.813888888888883</v>
      </c>
      <c r="AJ13" s="87">
        <v>18</v>
      </c>
      <c r="AK13" s="196">
        <f t="shared" si="0"/>
        <v>5.6666666666666679</v>
      </c>
      <c r="AL13" s="89">
        <f>AI13-AJ13</f>
        <v>23.813888888888883</v>
      </c>
      <c r="AM13" s="87">
        <f>SUM(AM7,AM11)</f>
        <v>7526.5</v>
      </c>
      <c r="AN13" s="87">
        <f>SUM(AN7,AN11)</f>
        <v>3135</v>
      </c>
      <c r="AO13" s="152">
        <f>AM13-AN13</f>
        <v>4391.5</v>
      </c>
      <c r="AP13" s="87">
        <f>'Juillet 25  '!AQ13+'Septembre 25'!AM13</f>
        <v>33849.86</v>
      </c>
      <c r="AQ13" s="87">
        <f>'Juillet 25  '!AR13+'Septembre 25'!AN13</f>
        <v>21677</v>
      </c>
      <c r="AR13" s="152">
        <f>AP13-AQ13</f>
        <v>12172.86</v>
      </c>
    </row>
    <row r="14" spans="1:47" ht="15" thickTop="1" x14ac:dyDescent="0.35"/>
    <row r="15" spans="1:47" ht="21" x14ac:dyDescent="0.5">
      <c r="A15" s="176"/>
      <c r="B15" s="176"/>
      <c r="C15" s="176"/>
      <c r="D15" s="176"/>
      <c r="E15" s="176"/>
      <c r="F15" s="176"/>
      <c r="G15" s="176"/>
      <c r="H15" s="176"/>
    </row>
    <row r="16" spans="1:47" ht="23.5" x14ac:dyDescent="0.35">
      <c r="A16" s="177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</row>
    <row r="17" spans="1:21" ht="23.5" x14ac:dyDescent="0.35">
      <c r="A17" s="177"/>
      <c r="B17" s="177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</row>
    <row r="18" spans="1:21" ht="23.5" x14ac:dyDescent="0.35">
      <c r="A18" s="177"/>
      <c r="B18" s="177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</row>
  </sheetData>
  <mergeCells count="1">
    <mergeCell ref="A1:AR1"/>
  </mergeCells>
  <printOptions horizontalCentered="1" verticalCentered="1"/>
  <pageMargins left="0" right="0" top="0" bottom="0" header="0" footer="0"/>
  <pageSetup paperSize="9" scale="9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8"/>
  <sheetViews>
    <sheetView zoomScaleNormal="100" workbookViewId="0">
      <selection activeCell="AQ8" sqref="AQ8"/>
    </sheetView>
  </sheetViews>
  <sheetFormatPr baseColWidth="10" defaultRowHeight="14.5" x14ac:dyDescent="0.35"/>
  <cols>
    <col min="1" max="1" width="8.7265625" customWidth="1"/>
    <col min="2" max="31" width="3.90625" customWidth="1"/>
    <col min="32" max="32" width="4.08984375" customWidth="1"/>
    <col min="33" max="33" width="2.26953125" customWidth="1"/>
    <col min="34" max="34" width="6.1796875" customWidth="1"/>
    <col min="35" max="42" width="9.1796875" customWidth="1"/>
  </cols>
  <sheetData>
    <row r="1" spans="1:48" ht="23.5" x14ac:dyDescent="0.35">
      <c r="A1" s="201" t="s">
        <v>40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202"/>
      <c r="AL1" s="202"/>
      <c r="AM1" s="202"/>
      <c r="AN1" s="202"/>
      <c r="AO1" s="202"/>
      <c r="AP1" s="202"/>
      <c r="AQ1" s="202"/>
      <c r="AR1" s="202"/>
      <c r="AS1" s="202"/>
    </row>
    <row r="2" spans="1:48" ht="9.5" customHeight="1" thickBot="1" x14ac:dyDescent="0.4"/>
    <row r="3" spans="1:48" ht="69.5" customHeight="1" thickTop="1" thickBot="1" x14ac:dyDescent="0.4">
      <c r="A3" s="1"/>
      <c r="B3" s="20">
        <v>45870</v>
      </c>
      <c r="C3" s="20">
        <v>45871</v>
      </c>
      <c r="D3" s="20">
        <v>45872</v>
      </c>
      <c r="E3" s="20">
        <v>45873</v>
      </c>
      <c r="F3" s="20">
        <v>45874</v>
      </c>
      <c r="G3" s="20">
        <v>45875</v>
      </c>
      <c r="H3" s="20">
        <v>45876</v>
      </c>
      <c r="I3" s="20">
        <v>45877</v>
      </c>
      <c r="J3" s="20">
        <v>45878</v>
      </c>
      <c r="K3" s="20">
        <v>45879</v>
      </c>
      <c r="L3" s="20">
        <v>45880</v>
      </c>
      <c r="M3" s="20">
        <v>45881</v>
      </c>
      <c r="N3" s="20">
        <v>45882</v>
      </c>
      <c r="O3" s="20">
        <v>45883</v>
      </c>
      <c r="P3" s="20">
        <v>45884</v>
      </c>
      <c r="Q3" s="20">
        <v>45885</v>
      </c>
      <c r="R3" s="20">
        <v>45886</v>
      </c>
      <c r="S3" s="20">
        <v>45887</v>
      </c>
      <c r="T3" s="20">
        <v>45888</v>
      </c>
      <c r="U3" s="20">
        <v>45889</v>
      </c>
      <c r="V3" s="20">
        <v>45890</v>
      </c>
      <c r="W3" s="20">
        <v>45891</v>
      </c>
      <c r="X3" s="20">
        <v>45892</v>
      </c>
      <c r="Y3" s="20">
        <v>45893</v>
      </c>
      <c r="Z3" s="20">
        <v>45894</v>
      </c>
      <c r="AA3" s="20">
        <v>45895</v>
      </c>
      <c r="AB3" s="20">
        <v>45896</v>
      </c>
      <c r="AC3" s="20">
        <v>45897</v>
      </c>
      <c r="AD3" s="20">
        <v>45898</v>
      </c>
      <c r="AE3" s="20">
        <v>45899</v>
      </c>
      <c r="AF3" s="20">
        <v>45900</v>
      </c>
      <c r="AG3" s="3"/>
      <c r="AI3" s="104" t="s">
        <v>9</v>
      </c>
      <c r="AJ3" s="105" t="s">
        <v>10</v>
      </c>
      <c r="AK3" s="105" t="s">
        <v>17</v>
      </c>
      <c r="AL3" s="106" t="s">
        <v>11</v>
      </c>
      <c r="AM3" s="106" t="s">
        <v>12</v>
      </c>
      <c r="AN3" s="107" t="s">
        <v>41</v>
      </c>
      <c r="AO3" s="107" t="s">
        <v>42</v>
      </c>
      <c r="AP3" s="181" t="s">
        <v>16</v>
      </c>
      <c r="AQ3" s="162" t="s">
        <v>21</v>
      </c>
      <c r="AR3" s="162" t="s">
        <v>22</v>
      </c>
      <c r="AS3" s="163" t="s">
        <v>16</v>
      </c>
      <c r="AT3" s="153"/>
      <c r="AU3" s="153"/>
      <c r="AV3" s="153"/>
    </row>
    <row r="4" spans="1:48" ht="24" customHeight="1" thickTop="1" thickBot="1" x14ac:dyDescent="0.4">
      <c r="A4" s="23" t="s">
        <v>0</v>
      </c>
      <c r="B4" s="24">
        <v>31</v>
      </c>
      <c r="C4" s="25">
        <v>8</v>
      </c>
      <c r="D4" s="26">
        <v>15</v>
      </c>
      <c r="E4" s="26">
        <v>5</v>
      </c>
      <c r="F4" s="26">
        <v>5</v>
      </c>
      <c r="G4" s="172">
        <v>0</v>
      </c>
      <c r="H4" s="26">
        <v>7</v>
      </c>
      <c r="I4" s="26">
        <v>7</v>
      </c>
      <c r="J4" s="172">
        <v>7</v>
      </c>
      <c r="K4" s="172">
        <v>34</v>
      </c>
      <c r="L4" s="26">
        <v>105</v>
      </c>
      <c r="M4" s="26">
        <v>0</v>
      </c>
      <c r="N4" s="26">
        <v>41</v>
      </c>
      <c r="O4" s="26">
        <v>24</v>
      </c>
      <c r="P4" s="26">
        <v>52</v>
      </c>
      <c r="Q4" s="26">
        <v>86</v>
      </c>
      <c r="R4" s="26">
        <v>6</v>
      </c>
      <c r="S4" s="26">
        <v>51</v>
      </c>
      <c r="T4" s="26">
        <v>53</v>
      </c>
      <c r="U4" s="26">
        <v>61</v>
      </c>
      <c r="V4" s="26">
        <v>80</v>
      </c>
      <c r="W4" s="26">
        <v>16</v>
      </c>
      <c r="X4" s="26">
        <v>37</v>
      </c>
      <c r="Y4" s="26">
        <v>43</v>
      </c>
      <c r="Z4" s="26">
        <v>113</v>
      </c>
      <c r="AA4" s="26">
        <v>10</v>
      </c>
      <c r="AB4" s="26">
        <v>8</v>
      </c>
      <c r="AC4" s="26">
        <v>6</v>
      </c>
      <c r="AD4" s="25">
        <v>43</v>
      </c>
      <c r="AE4" s="50">
        <v>11</v>
      </c>
      <c r="AF4" s="50">
        <v>43</v>
      </c>
      <c r="AH4" s="155" t="s">
        <v>0</v>
      </c>
      <c r="AI4" s="170">
        <f>SUM(B4:AE4)</f>
        <v>965</v>
      </c>
      <c r="AJ4" s="157">
        <f>AVERAGE(B4:AE4)</f>
        <v>32.166666666666664</v>
      </c>
      <c r="AK4" s="5">
        <v>18</v>
      </c>
      <c r="AL4" s="15">
        <f>AC4-AK4</f>
        <v>-12</v>
      </c>
      <c r="AM4" s="160">
        <f>AJ4-AK4</f>
        <v>14.166666666666664</v>
      </c>
      <c r="AN4" s="158">
        <f>AI4</f>
        <v>965</v>
      </c>
      <c r="AO4" s="5">
        <v>563</v>
      </c>
      <c r="AP4" s="160">
        <f>AN4-AO4</f>
        <v>402</v>
      </c>
      <c r="AQ4" s="158">
        <f>'Juillet 25  '!AQ4+'Aout 25'!AN4</f>
        <v>5226.29</v>
      </c>
      <c r="AR4" s="5">
        <f>'Juillet 25  '!AR4+'Aout 25'!AO4</f>
        <v>4938</v>
      </c>
      <c r="AS4" s="169">
        <f>AQ4-AR4</f>
        <v>288.28999999999996</v>
      </c>
    </row>
    <row r="5" spans="1:48" ht="24" customHeight="1" thickBot="1" x14ac:dyDescent="0.4">
      <c r="A5" s="27" t="s">
        <v>1</v>
      </c>
      <c r="B5" s="17">
        <v>8</v>
      </c>
      <c r="C5" s="5">
        <v>71</v>
      </c>
      <c r="D5" s="6">
        <v>21</v>
      </c>
      <c r="E5" s="6">
        <v>21</v>
      </c>
      <c r="F5" s="6">
        <v>6</v>
      </c>
      <c r="G5" s="6">
        <v>43</v>
      </c>
      <c r="H5" s="6">
        <v>3</v>
      </c>
      <c r="I5" s="6">
        <v>24</v>
      </c>
      <c r="J5" s="6">
        <v>15</v>
      </c>
      <c r="K5" s="6">
        <v>313</v>
      </c>
      <c r="L5" s="6">
        <v>30</v>
      </c>
      <c r="M5" s="6">
        <v>99</v>
      </c>
      <c r="N5" s="6">
        <v>63</v>
      </c>
      <c r="O5" s="6">
        <v>6</v>
      </c>
      <c r="P5" s="6">
        <v>35</v>
      </c>
      <c r="Q5" s="6">
        <v>8</v>
      </c>
      <c r="R5" s="6">
        <v>39</v>
      </c>
      <c r="S5" s="6">
        <v>19</v>
      </c>
      <c r="T5" s="6">
        <v>68</v>
      </c>
      <c r="U5" s="6">
        <v>9</v>
      </c>
      <c r="V5" s="6">
        <v>5</v>
      </c>
      <c r="W5" s="6">
        <v>37</v>
      </c>
      <c r="X5" s="6">
        <v>6</v>
      </c>
      <c r="Y5" s="6">
        <v>9</v>
      </c>
      <c r="Z5" s="6">
        <v>4</v>
      </c>
      <c r="AA5" s="6">
        <v>9</v>
      </c>
      <c r="AB5" s="6">
        <v>11</v>
      </c>
      <c r="AC5" s="6">
        <v>23</v>
      </c>
      <c r="AD5" s="5">
        <v>26</v>
      </c>
      <c r="AE5" s="13">
        <v>53</v>
      </c>
      <c r="AF5" s="13">
        <v>6</v>
      </c>
      <c r="AH5" s="155" t="s">
        <v>1</v>
      </c>
      <c r="AI5" s="156">
        <f>SUM(B5:AE5)</f>
        <v>1084</v>
      </c>
      <c r="AJ5" s="157">
        <f>AVERAGE(B5:AE5)</f>
        <v>36.133333333333333</v>
      </c>
      <c r="AK5" s="5">
        <v>18</v>
      </c>
      <c r="AL5" s="160">
        <f>AC5-AK5</f>
        <v>5</v>
      </c>
      <c r="AM5" s="160">
        <f>AJ5-AK5</f>
        <v>18.133333333333333</v>
      </c>
      <c r="AN5" s="5">
        <f>AI5</f>
        <v>1084</v>
      </c>
      <c r="AO5" s="5">
        <v>702</v>
      </c>
      <c r="AP5" s="182">
        <f t="shared" ref="AP5:AP6" si="0">AN5-AO5</f>
        <v>382</v>
      </c>
      <c r="AQ5" s="158">
        <f>'Juillet 25  '!AQ5+'Aout 25'!AN5</f>
        <v>7386</v>
      </c>
      <c r="AR5" s="5">
        <f>'Juillet 25  '!AR5+'Aout 25'!AO5</f>
        <v>5124</v>
      </c>
      <c r="AS5" s="169">
        <f t="shared" ref="AS5:AS10" si="1">AQ5-AR5</f>
        <v>2262</v>
      </c>
    </row>
    <row r="6" spans="1:48" ht="24" customHeight="1" thickBot="1" x14ac:dyDescent="0.4">
      <c r="A6" s="27" t="s">
        <v>2</v>
      </c>
      <c r="B6" s="17">
        <v>3</v>
      </c>
      <c r="C6" s="5">
        <v>23</v>
      </c>
      <c r="D6" s="6">
        <v>9</v>
      </c>
      <c r="E6" s="6">
        <v>15</v>
      </c>
      <c r="F6" s="6">
        <v>0</v>
      </c>
      <c r="G6" s="6">
        <v>214</v>
      </c>
      <c r="H6" s="6">
        <v>145</v>
      </c>
      <c r="I6" s="6">
        <v>0</v>
      </c>
      <c r="J6" s="6">
        <v>21</v>
      </c>
      <c r="K6" s="6">
        <v>27</v>
      </c>
      <c r="L6" s="6">
        <v>38</v>
      </c>
      <c r="M6" s="6">
        <v>0</v>
      </c>
      <c r="N6" s="6">
        <v>33</v>
      </c>
      <c r="O6" s="6">
        <v>11</v>
      </c>
      <c r="P6" s="6">
        <v>0</v>
      </c>
      <c r="Q6" s="6">
        <v>69</v>
      </c>
      <c r="R6" s="6">
        <v>10</v>
      </c>
      <c r="S6" s="6">
        <v>35</v>
      </c>
      <c r="T6" s="6">
        <v>2</v>
      </c>
      <c r="U6" s="6">
        <v>28</v>
      </c>
      <c r="V6" s="6">
        <v>24</v>
      </c>
      <c r="W6" s="6">
        <v>7</v>
      </c>
      <c r="X6" s="6">
        <v>12</v>
      </c>
      <c r="Y6" s="6">
        <v>32</v>
      </c>
      <c r="Z6" s="6">
        <v>25</v>
      </c>
      <c r="AA6" s="6">
        <v>12</v>
      </c>
      <c r="AB6" s="6">
        <v>6</v>
      </c>
      <c r="AC6" s="6">
        <v>99</v>
      </c>
      <c r="AD6" s="5">
        <v>196</v>
      </c>
      <c r="AE6" s="13">
        <v>50</v>
      </c>
      <c r="AF6" s="13">
        <v>45</v>
      </c>
      <c r="AH6" s="155" t="s">
        <v>2</v>
      </c>
      <c r="AI6" s="170">
        <f>SUM(B6:AE6)</f>
        <v>1146</v>
      </c>
      <c r="AJ6" s="157">
        <f>AVERAGE(B6:AE6)</f>
        <v>38.200000000000003</v>
      </c>
      <c r="AK6" s="5">
        <v>18</v>
      </c>
      <c r="AL6" s="160">
        <f t="shared" ref="AL6:AL13" si="2">AC6-AK6</f>
        <v>81</v>
      </c>
      <c r="AM6" s="160">
        <f t="shared" ref="AM6:AM10" si="3">AJ6-AK6</f>
        <v>20.200000000000003</v>
      </c>
      <c r="AN6" s="158">
        <f>AI6</f>
        <v>1146</v>
      </c>
      <c r="AO6" s="5">
        <v>1649</v>
      </c>
      <c r="AP6" s="15">
        <f t="shared" si="0"/>
        <v>-503</v>
      </c>
      <c r="AQ6" s="158">
        <f>'Juillet 25  '!AQ6+'Aout 25'!AN6</f>
        <v>6447.37</v>
      </c>
      <c r="AR6" s="5">
        <f>'Juillet 25  '!AR6+'Aout 25'!AO6</f>
        <v>3949</v>
      </c>
      <c r="AS6" s="169">
        <f t="shared" si="1"/>
        <v>2498.37</v>
      </c>
    </row>
    <row r="7" spans="1:48" ht="29" customHeight="1" thickBot="1" x14ac:dyDescent="0.4">
      <c r="A7" s="28" t="s">
        <v>13</v>
      </c>
      <c r="B7" s="29">
        <f>AVERAGE(B4:B6)</f>
        <v>14</v>
      </c>
      <c r="C7" s="29">
        <f t="shared" ref="C7:AF7" si="4">AVERAGE(C4:C6)</f>
        <v>34</v>
      </c>
      <c r="D7" s="29">
        <f t="shared" si="4"/>
        <v>15</v>
      </c>
      <c r="E7" s="29">
        <f t="shared" si="4"/>
        <v>13.666666666666666</v>
      </c>
      <c r="F7" s="29">
        <f t="shared" si="4"/>
        <v>3.6666666666666665</v>
      </c>
      <c r="G7" s="29">
        <f t="shared" si="4"/>
        <v>85.666666666666671</v>
      </c>
      <c r="H7" s="29">
        <f t="shared" si="4"/>
        <v>51.666666666666664</v>
      </c>
      <c r="I7" s="29">
        <f t="shared" si="4"/>
        <v>10.333333333333334</v>
      </c>
      <c r="J7" s="29">
        <f t="shared" si="4"/>
        <v>14.333333333333334</v>
      </c>
      <c r="K7" s="29">
        <f t="shared" si="4"/>
        <v>124.66666666666667</v>
      </c>
      <c r="L7" s="29">
        <f t="shared" si="4"/>
        <v>57.666666666666664</v>
      </c>
      <c r="M7" s="29">
        <f t="shared" si="4"/>
        <v>33</v>
      </c>
      <c r="N7" s="29">
        <f t="shared" si="4"/>
        <v>45.666666666666664</v>
      </c>
      <c r="O7" s="29">
        <f t="shared" si="4"/>
        <v>13.666666666666666</v>
      </c>
      <c r="P7" s="29">
        <f t="shared" si="4"/>
        <v>29</v>
      </c>
      <c r="Q7" s="29">
        <f t="shared" si="4"/>
        <v>54.333333333333336</v>
      </c>
      <c r="R7" s="29">
        <f t="shared" si="4"/>
        <v>18.333333333333332</v>
      </c>
      <c r="S7" s="29">
        <f t="shared" si="4"/>
        <v>35</v>
      </c>
      <c r="T7" s="29">
        <f t="shared" si="4"/>
        <v>41</v>
      </c>
      <c r="U7" s="29">
        <f t="shared" si="4"/>
        <v>32.666666666666664</v>
      </c>
      <c r="V7" s="29">
        <f t="shared" si="4"/>
        <v>36.333333333333336</v>
      </c>
      <c r="W7" s="29">
        <f t="shared" si="4"/>
        <v>20</v>
      </c>
      <c r="X7" s="29">
        <f t="shared" si="4"/>
        <v>18.333333333333332</v>
      </c>
      <c r="Y7" s="29">
        <f t="shared" si="4"/>
        <v>28</v>
      </c>
      <c r="Z7" s="29">
        <f t="shared" si="4"/>
        <v>47.333333333333336</v>
      </c>
      <c r="AA7" s="29">
        <f t="shared" si="4"/>
        <v>10.333333333333334</v>
      </c>
      <c r="AB7" s="29">
        <f t="shared" si="4"/>
        <v>8.3333333333333339</v>
      </c>
      <c r="AC7" s="29">
        <f t="shared" si="4"/>
        <v>42.666666666666664</v>
      </c>
      <c r="AD7" s="29">
        <f t="shared" si="4"/>
        <v>88.333333333333329</v>
      </c>
      <c r="AE7" s="29">
        <f t="shared" si="4"/>
        <v>38</v>
      </c>
      <c r="AF7" s="29">
        <f t="shared" si="4"/>
        <v>31.333333333333332</v>
      </c>
      <c r="AH7" s="155" t="s">
        <v>6</v>
      </c>
      <c r="AI7" s="120">
        <f>AVERAGE(AI4:AI6)</f>
        <v>1065</v>
      </c>
      <c r="AJ7" s="121">
        <f>AVERAGE(AJ4:AJ6)</f>
        <v>35.5</v>
      </c>
      <c r="AK7" s="122">
        <v>18</v>
      </c>
      <c r="AL7" s="144">
        <f t="shared" si="2"/>
        <v>24.666666666666664</v>
      </c>
      <c r="AM7" s="141">
        <f t="shared" si="3"/>
        <v>17.5</v>
      </c>
      <c r="AN7" s="132">
        <f>SUM(AN4:AN6)</f>
        <v>3195</v>
      </c>
      <c r="AO7" s="132">
        <f>SUM(AO4:AO6)</f>
        <v>2914</v>
      </c>
      <c r="AP7" s="141">
        <f>AN7-AO7</f>
        <v>281</v>
      </c>
      <c r="AQ7" s="132">
        <f>'Juillet 25  '!AQ7+'Aout 25'!AN7</f>
        <v>19059.66</v>
      </c>
      <c r="AR7" s="132">
        <f>'Juillet 25  '!AR7+'Aout 25'!AO7</f>
        <v>14011</v>
      </c>
      <c r="AS7" s="138">
        <f t="shared" si="1"/>
        <v>5048.66</v>
      </c>
    </row>
    <row r="8" spans="1:48" ht="24" customHeight="1" thickTop="1" thickBot="1" x14ac:dyDescent="0.4">
      <c r="A8" s="33" t="s">
        <v>3</v>
      </c>
      <c r="B8" s="95">
        <v>0</v>
      </c>
      <c r="C8" s="26">
        <v>0</v>
      </c>
      <c r="D8" s="26">
        <v>49</v>
      </c>
      <c r="E8" s="26">
        <v>6</v>
      </c>
      <c r="F8" s="26">
        <v>114</v>
      </c>
      <c r="G8" s="172">
        <v>380</v>
      </c>
      <c r="H8" s="26">
        <v>33</v>
      </c>
      <c r="I8" s="26">
        <v>50</v>
      </c>
      <c r="J8" s="172">
        <v>33</v>
      </c>
      <c r="K8" s="26">
        <v>26</v>
      </c>
      <c r="L8" s="26">
        <v>61</v>
      </c>
      <c r="M8" s="26">
        <v>15</v>
      </c>
      <c r="N8" s="26">
        <v>215</v>
      </c>
      <c r="O8" s="26">
        <v>15</v>
      </c>
      <c r="P8" s="26">
        <v>189</v>
      </c>
      <c r="Q8" s="26">
        <v>4</v>
      </c>
      <c r="R8" s="26">
        <v>10</v>
      </c>
      <c r="S8" s="26">
        <v>0</v>
      </c>
      <c r="T8" s="26">
        <v>7</v>
      </c>
      <c r="U8" s="26">
        <v>46</v>
      </c>
      <c r="V8" s="26">
        <v>56.8</v>
      </c>
      <c r="W8" s="26">
        <v>0</v>
      </c>
      <c r="X8" s="26">
        <v>0</v>
      </c>
      <c r="Y8" s="26">
        <v>5</v>
      </c>
      <c r="Z8" s="26">
        <v>96</v>
      </c>
      <c r="AA8" s="26">
        <v>66</v>
      </c>
      <c r="AB8" s="26">
        <v>0</v>
      </c>
      <c r="AC8" s="26">
        <v>0</v>
      </c>
      <c r="AD8" s="25">
        <v>0</v>
      </c>
      <c r="AE8" s="50">
        <v>0</v>
      </c>
      <c r="AF8" s="50">
        <v>0</v>
      </c>
      <c r="AH8" s="161" t="s">
        <v>3</v>
      </c>
      <c r="AI8" s="170">
        <f>SUM(B8:AE8)</f>
        <v>1476.8</v>
      </c>
      <c r="AJ8" s="157">
        <f>AVERAGE(B8:AE8)</f>
        <v>49.226666666666667</v>
      </c>
      <c r="AK8" s="5">
        <v>18</v>
      </c>
      <c r="AL8" s="15">
        <f t="shared" si="2"/>
        <v>-18</v>
      </c>
      <c r="AM8" s="160">
        <f t="shared" si="3"/>
        <v>31.226666666666667</v>
      </c>
      <c r="AN8" s="158">
        <f>AI8</f>
        <v>1476.8</v>
      </c>
      <c r="AO8" s="5">
        <v>530</v>
      </c>
      <c r="AP8" s="160">
        <f>AN8-AO8</f>
        <v>946.8</v>
      </c>
      <c r="AQ8" s="158">
        <f>'Juillet 25  '!AQ8+'Aout 25'!AN8</f>
        <v>4522.5</v>
      </c>
      <c r="AR8" s="5">
        <f>'Juillet 25  '!AR8+'Aout 25'!AO8</f>
        <v>2127</v>
      </c>
      <c r="AS8" s="169">
        <f t="shared" si="1"/>
        <v>2395.5</v>
      </c>
    </row>
    <row r="9" spans="1:48" ht="24" customHeight="1" thickBot="1" x14ac:dyDescent="0.4">
      <c r="A9" s="36" t="s">
        <v>4</v>
      </c>
      <c r="B9" s="96">
        <v>13</v>
      </c>
      <c r="C9" s="6">
        <v>179</v>
      </c>
      <c r="D9" s="6">
        <v>43</v>
      </c>
      <c r="E9" s="6">
        <v>46</v>
      </c>
      <c r="F9" s="6">
        <v>43</v>
      </c>
      <c r="G9" s="6">
        <v>0</v>
      </c>
      <c r="H9" s="6">
        <v>41</v>
      </c>
      <c r="I9" s="6">
        <v>131</v>
      </c>
      <c r="J9" s="6">
        <v>61</v>
      </c>
      <c r="K9" s="6">
        <v>10</v>
      </c>
      <c r="L9" s="6">
        <v>37</v>
      </c>
      <c r="M9" s="6">
        <v>84</v>
      </c>
      <c r="N9" s="6">
        <v>10</v>
      </c>
      <c r="O9" s="6">
        <v>57</v>
      </c>
      <c r="P9" s="6">
        <v>38</v>
      </c>
      <c r="Q9" s="6">
        <v>38</v>
      </c>
      <c r="R9" s="6">
        <v>62</v>
      </c>
      <c r="S9" s="6">
        <v>60</v>
      </c>
      <c r="T9" s="6">
        <v>7</v>
      </c>
      <c r="U9" s="6">
        <v>100</v>
      </c>
      <c r="V9" s="6">
        <v>0</v>
      </c>
      <c r="W9" s="6">
        <v>63</v>
      </c>
      <c r="X9" s="6">
        <v>46</v>
      </c>
      <c r="Y9" s="6">
        <v>5</v>
      </c>
      <c r="Z9" s="6">
        <v>47</v>
      </c>
      <c r="AA9" s="6">
        <v>12</v>
      </c>
      <c r="AB9" s="6">
        <v>0</v>
      </c>
      <c r="AC9" s="6">
        <v>0</v>
      </c>
      <c r="AD9" s="5">
        <v>0</v>
      </c>
      <c r="AE9" s="13">
        <v>0</v>
      </c>
      <c r="AF9" s="13">
        <v>0</v>
      </c>
      <c r="AH9" s="161" t="s">
        <v>4</v>
      </c>
      <c r="AI9" s="156">
        <f>SUM(B9:AE9)</f>
        <v>1233</v>
      </c>
      <c r="AJ9" s="157">
        <f>AVERAGE(B9:AE9)</f>
        <v>41.1</v>
      </c>
      <c r="AK9" s="5">
        <v>18</v>
      </c>
      <c r="AL9" s="15">
        <f t="shared" si="2"/>
        <v>-18</v>
      </c>
      <c r="AM9" s="160">
        <f t="shared" si="3"/>
        <v>23.1</v>
      </c>
      <c r="AN9" s="5">
        <f>AI9</f>
        <v>1233</v>
      </c>
      <c r="AO9" s="5">
        <v>890</v>
      </c>
      <c r="AP9" s="182">
        <f>AN9-AO9</f>
        <v>343</v>
      </c>
      <c r="AQ9" s="158">
        <f>'Juillet 25  '!AQ9+'Aout 25'!AN9</f>
        <v>5390</v>
      </c>
      <c r="AR9" s="5">
        <f>'Juillet 25  '!AR9+'Aout 25'!AO9</f>
        <v>4946</v>
      </c>
      <c r="AS9" s="169">
        <f t="shared" si="1"/>
        <v>444</v>
      </c>
    </row>
    <row r="10" spans="1:48" ht="24" customHeight="1" thickBot="1" x14ac:dyDescent="0.4">
      <c r="A10" s="36" t="s">
        <v>5</v>
      </c>
      <c r="B10" s="97">
        <v>8</v>
      </c>
      <c r="C10" s="6">
        <v>0</v>
      </c>
      <c r="D10" s="6">
        <v>6</v>
      </c>
      <c r="E10" s="6">
        <v>32</v>
      </c>
      <c r="F10" s="6">
        <v>11</v>
      </c>
      <c r="G10" s="6">
        <v>17</v>
      </c>
      <c r="H10" s="6">
        <v>0</v>
      </c>
      <c r="I10" s="6">
        <v>34</v>
      </c>
      <c r="J10" s="6">
        <v>5</v>
      </c>
      <c r="K10" s="6">
        <v>21</v>
      </c>
      <c r="L10" s="6">
        <v>13</v>
      </c>
      <c r="M10" s="6">
        <v>0</v>
      </c>
      <c r="N10" s="6">
        <v>30</v>
      </c>
      <c r="O10" s="6">
        <v>32</v>
      </c>
      <c r="P10" s="6">
        <v>46</v>
      </c>
      <c r="Q10" s="6">
        <v>4</v>
      </c>
      <c r="R10" s="6">
        <v>16</v>
      </c>
      <c r="S10" s="6">
        <v>16</v>
      </c>
      <c r="T10" s="6">
        <v>12</v>
      </c>
      <c r="U10" s="6">
        <v>66</v>
      </c>
      <c r="V10" s="6">
        <v>40</v>
      </c>
      <c r="W10" s="6">
        <v>6</v>
      </c>
      <c r="X10" s="6">
        <v>11</v>
      </c>
      <c r="Y10" s="6">
        <v>4</v>
      </c>
      <c r="Z10" s="6">
        <v>80</v>
      </c>
      <c r="AA10" s="6">
        <v>31</v>
      </c>
      <c r="AB10" s="6">
        <v>0</v>
      </c>
      <c r="AC10" s="6">
        <v>0</v>
      </c>
      <c r="AD10" s="5">
        <v>0</v>
      </c>
      <c r="AE10" s="13">
        <v>0</v>
      </c>
      <c r="AF10" s="13">
        <v>0</v>
      </c>
      <c r="AH10" s="161" t="s">
        <v>5</v>
      </c>
      <c r="AI10" s="156">
        <f>SUM(B10:AE10)</f>
        <v>541</v>
      </c>
      <c r="AJ10" s="157">
        <f>AVERAGE(B10:AE10)</f>
        <v>18.033333333333335</v>
      </c>
      <c r="AK10" s="5">
        <v>18</v>
      </c>
      <c r="AL10" s="15">
        <f t="shared" si="2"/>
        <v>-18</v>
      </c>
      <c r="AM10" s="160">
        <f t="shared" si="3"/>
        <v>3.3333333333334991E-2</v>
      </c>
      <c r="AN10" s="5">
        <f>AI10</f>
        <v>541</v>
      </c>
      <c r="AO10" s="5">
        <v>349</v>
      </c>
      <c r="AP10" s="182">
        <f t="shared" ref="AP10" si="5">AN10-AO10</f>
        <v>192</v>
      </c>
      <c r="AQ10" s="158">
        <f>'Juillet 25  '!AQ10+'Aout 25'!AN10</f>
        <v>3797</v>
      </c>
      <c r="AR10" s="5">
        <f>'Juillet 25  '!AR10+'Aout 25'!AO10</f>
        <v>2147</v>
      </c>
      <c r="AS10" s="169">
        <f t="shared" si="1"/>
        <v>1650</v>
      </c>
    </row>
    <row r="11" spans="1:48" ht="24" customHeight="1" thickBot="1" x14ac:dyDescent="0.4">
      <c r="A11" s="37" t="s">
        <v>7</v>
      </c>
      <c r="B11" s="128">
        <f>AVERAGE(B8:B10)</f>
        <v>7</v>
      </c>
      <c r="C11" s="128">
        <f>AVERAGE(C8:C10)</f>
        <v>59.666666666666664</v>
      </c>
      <c r="D11" s="38">
        <f t="shared" ref="D11:AF11" si="6">AVERAGE(D8:D10)</f>
        <v>32.666666666666664</v>
      </c>
      <c r="E11" s="128">
        <f t="shared" si="6"/>
        <v>28</v>
      </c>
      <c r="F11" s="128">
        <f t="shared" si="6"/>
        <v>56</v>
      </c>
      <c r="G11" s="128">
        <f t="shared" si="6"/>
        <v>132.33333333333334</v>
      </c>
      <c r="H11" s="128">
        <f t="shared" si="6"/>
        <v>24.666666666666668</v>
      </c>
      <c r="I11" s="128">
        <f t="shared" si="6"/>
        <v>71.666666666666671</v>
      </c>
      <c r="J11" s="128">
        <f t="shared" si="6"/>
        <v>33</v>
      </c>
      <c r="K11" s="128">
        <f t="shared" si="6"/>
        <v>19</v>
      </c>
      <c r="L11" s="128">
        <f t="shared" si="6"/>
        <v>37</v>
      </c>
      <c r="M11" s="128">
        <f t="shared" si="6"/>
        <v>33</v>
      </c>
      <c r="N11" s="128">
        <f t="shared" si="6"/>
        <v>85</v>
      </c>
      <c r="O11" s="128">
        <f t="shared" si="6"/>
        <v>34.666666666666664</v>
      </c>
      <c r="P11" s="128">
        <f t="shared" si="6"/>
        <v>91</v>
      </c>
      <c r="Q11" s="128">
        <f t="shared" si="6"/>
        <v>15.333333333333334</v>
      </c>
      <c r="R11" s="128">
        <f t="shared" si="6"/>
        <v>29.333333333333332</v>
      </c>
      <c r="S11" s="128">
        <f t="shared" si="6"/>
        <v>25.333333333333332</v>
      </c>
      <c r="T11" s="128">
        <f t="shared" si="6"/>
        <v>8.6666666666666661</v>
      </c>
      <c r="U11" s="128">
        <f t="shared" si="6"/>
        <v>70.666666666666671</v>
      </c>
      <c r="V11" s="128">
        <f t="shared" si="6"/>
        <v>32.266666666666666</v>
      </c>
      <c r="W11" s="128">
        <f t="shared" si="6"/>
        <v>23</v>
      </c>
      <c r="X11" s="128">
        <f t="shared" si="6"/>
        <v>19</v>
      </c>
      <c r="Y11" s="128">
        <f t="shared" si="6"/>
        <v>4.666666666666667</v>
      </c>
      <c r="Z11" s="128">
        <f t="shared" si="6"/>
        <v>74.333333333333329</v>
      </c>
      <c r="AA11" s="128">
        <f t="shared" si="6"/>
        <v>36.333333333333336</v>
      </c>
      <c r="AB11" s="128">
        <f t="shared" si="6"/>
        <v>0</v>
      </c>
      <c r="AC11" s="128">
        <f t="shared" si="6"/>
        <v>0</v>
      </c>
      <c r="AD11" s="128">
        <f t="shared" si="6"/>
        <v>0</v>
      </c>
      <c r="AE11" s="128">
        <f t="shared" si="6"/>
        <v>0</v>
      </c>
      <c r="AF11" s="128">
        <f t="shared" si="6"/>
        <v>0</v>
      </c>
      <c r="AH11" s="161" t="s">
        <v>7</v>
      </c>
      <c r="AI11" s="123">
        <f>AVERAGE(AI8:AI10)</f>
        <v>1083.6000000000001</v>
      </c>
      <c r="AJ11" s="124">
        <f>AVERAGE(AJ8:AJ10)</f>
        <v>36.119999999999997</v>
      </c>
      <c r="AK11" s="125">
        <v>18</v>
      </c>
      <c r="AL11" s="197">
        <f t="shared" si="2"/>
        <v>-18</v>
      </c>
      <c r="AM11" s="174">
        <f>AJ11-AK11</f>
        <v>18.119999999999997</v>
      </c>
      <c r="AN11" s="136">
        <f>SUM(AN8:AN10)</f>
        <v>3250.8</v>
      </c>
      <c r="AO11" s="136">
        <f>SUM(AO8:AO10)</f>
        <v>1769</v>
      </c>
      <c r="AP11" s="174">
        <f>AN11-AO11</f>
        <v>1481.8000000000002</v>
      </c>
      <c r="AQ11" s="136">
        <f>'Juillet 25  '!AQ11+'Aout 25'!AN11</f>
        <v>13709.5</v>
      </c>
      <c r="AR11" s="136">
        <f>'Juillet 25  '!AR11+'Aout 25'!AO11</f>
        <v>9214</v>
      </c>
      <c r="AS11" s="146">
        <f>AQ11-AR11</f>
        <v>4495.5</v>
      </c>
    </row>
    <row r="12" spans="1:48" ht="9.5" customHeight="1" thickTop="1" thickBot="1" x14ac:dyDescent="0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J12" s="4"/>
      <c r="AK12" s="7"/>
      <c r="AL12" s="160"/>
      <c r="AM12" s="194"/>
      <c r="AN12" s="10"/>
      <c r="AP12" s="191"/>
      <c r="AQ12" s="158"/>
      <c r="AR12" s="5"/>
    </row>
    <row r="13" spans="1:48" ht="59" customHeight="1" thickTop="1" thickBot="1" x14ac:dyDescent="0.4">
      <c r="A13" s="42" t="s">
        <v>8</v>
      </c>
      <c r="B13" s="43">
        <f>AVERAGE(B11,B7)</f>
        <v>10.5</v>
      </c>
      <c r="C13" s="43">
        <f t="shared" ref="C13:AF13" si="7">AVERAGE(C11,C7)</f>
        <v>46.833333333333329</v>
      </c>
      <c r="D13" s="43">
        <f t="shared" si="7"/>
        <v>23.833333333333332</v>
      </c>
      <c r="E13" s="43">
        <f t="shared" si="7"/>
        <v>20.833333333333332</v>
      </c>
      <c r="F13" s="43">
        <f t="shared" si="7"/>
        <v>29.833333333333332</v>
      </c>
      <c r="G13" s="43">
        <f t="shared" si="7"/>
        <v>109</v>
      </c>
      <c r="H13" s="43">
        <f t="shared" si="7"/>
        <v>38.166666666666664</v>
      </c>
      <c r="I13" s="43">
        <f t="shared" si="7"/>
        <v>41</v>
      </c>
      <c r="J13" s="43">
        <f t="shared" si="7"/>
        <v>23.666666666666668</v>
      </c>
      <c r="K13" s="43">
        <f t="shared" si="7"/>
        <v>71.833333333333343</v>
      </c>
      <c r="L13" s="43">
        <f t="shared" si="7"/>
        <v>47.333333333333329</v>
      </c>
      <c r="M13" s="43">
        <f t="shared" si="7"/>
        <v>33</v>
      </c>
      <c r="N13" s="43">
        <f t="shared" si="7"/>
        <v>65.333333333333329</v>
      </c>
      <c r="O13" s="43">
        <f t="shared" si="7"/>
        <v>24.166666666666664</v>
      </c>
      <c r="P13" s="43">
        <f t="shared" si="7"/>
        <v>60</v>
      </c>
      <c r="Q13" s="43">
        <f t="shared" si="7"/>
        <v>34.833333333333336</v>
      </c>
      <c r="R13" s="43">
        <f t="shared" si="7"/>
        <v>23.833333333333332</v>
      </c>
      <c r="S13" s="43">
        <f t="shared" si="7"/>
        <v>30.166666666666664</v>
      </c>
      <c r="T13" s="43">
        <f t="shared" si="7"/>
        <v>24.833333333333332</v>
      </c>
      <c r="U13" s="43">
        <f t="shared" si="7"/>
        <v>51.666666666666671</v>
      </c>
      <c r="V13" s="43">
        <f t="shared" si="7"/>
        <v>34.299999999999997</v>
      </c>
      <c r="W13" s="43">
        <f t="shared" si="7"/>
        <v>21.5</v>
      </c>
      <c r="X13" s="43">
        <f t="shared" si="7"/>
        <v>18.666666666666664</v>
      </c>
      <c r="Y13" s="43">
        <f t="shared" si="7"/>
        <v>16.333333333333332</v>
      </c>
      <c r="Z13" s="43">
        <f t="shared" si="7"/>
        <v>60.833333333333329</v>
      </c>
      <c r="AA13" s="43">
        <f t="shared" si="7"/>
        <v>23.333333333333336</v>
      </c>
      <c r="AB13" s="43">
        <f t="shared" si="7"/>
        <v>4.166666666666667</v>
      </c>
      <c r="AC13" s="43">
        <f t="shared" si="7"/>
        <v>21.333333333333332</v>
      </c>
      <c r="AD13" s="43">
        <f t="shared" si="7"/>
        <v>44.166666666666664</v>
      </c>
      <c r="AE13" s="43">
        <f t="shared" si="7"/>
        <v>19</v>
      </c>
      <c r="AF13" s="43">
        <f t="shared" si="7"/>
        <v>15.666666666666666</v>
      </c>
      <c r="AH13" s="85" t="s">
        <v>8</v>
      </c>
      <c r="AI13" s="86">
        <f>AVERAGE(AI11,AI7)</f>
        <v>1074.3000000000002</v>
      </c>
      <c r="AJ13" s="86">
        <f>AVERAGE(AJ11,AJ7)</f>
        <v>35.81</v>
      </c>
      <c r="AK13" s="87">
        <v>18</v>
      </c>
      <c r="AL13" s="196">
        <f t="shared" si="2"/>
        <v>3.3333333333333321</v>
      </c>
      <c r="AM13" s="89">
        <f>AJ13-AK13</f>
        <v>17.810000000000002</v>
      </c>
      <c r="AN13" s="87">
        <f>SUM(AN7,AN11)</f>
        <v>6445.8</v>
      </c>
      <c r="AO13" s="87">
        <f>SUM(AO7,AO11)</f>
        <v>4683</v>
      </c>
      <c r="AP13" s="152">
        <f>AN13-AO13</f>
        <v>1762.8000000000002</v>
      </c>
      <c r="AQ13" s="87">
        <f>'Juillet 25  '!AQ13+'Aout 25'!AN13</f>
        <v>32769.160000000003</v>
      </c>
      <c r="AR13" s="87">
        <f>'Juillet 25  '!AR13+'Aout 25'!AO13</f>
        <v>23225</v>
      </c>
      <c r="AS13" s="152">
        <f>AQ13-AR13</f>
        <v>9544.1600000000035</v>
      </c>
    </row>
    <row r="14" spans="1:48" ht="15" thickTop="1" x14ac:dyDescent="0.35"/>
    <row r="15" spans="1:48" ht="21" x14ac:dyDescent="0.5">
      <c r="A15" s="176"/>
      <c r="B15" s="176"/>
      <c r="C15" s="176"/>
      <c r="D15" s="176"/>
      <c r="E15" s="176"/>
      <c r="F15" s="176"/>
      <c r="G15" s="176"/>
      <c r="H15" s="176"/>
    </row>
    <row r="16" spans="1:48" ht="23.5" x14ac:dyDescent="0.35">
      <c r="A16" s="177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</row>
    <row r="17" spans="1:21" ht="23.5" x14ac:dyDescent="0.35">
      <c r="A17" s="177"/>
      <c r="B17" s="177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</row>
    <row r="18" spans="1:21" ht="23.5" x14ac:dyDescent="0.35">
      <c r="A18" s="177"/>
      <c r="B18" s="177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</row>
  </sheetData>
  <mergeCells count="1">
    <mergeCell ref="A1:AS1"/>
  </mergeCells>
  <printOptions horizontalCentered="1" verticalCentered="1"/>
  <pageMargins left="0" right="0" top="0" bottom="0" header="0" footer="0"/>
  <pageSetup paperSize="9" scale="9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8"/>
  <sheetViews>
    <sheetView topLeftCell="H1" zoomScaleNormal="100" workbookViewId="0">
      <selection activeCell="AM5" sqref="AM5"/>
    </sheetView>
  </sheetViews>
  <sheetFormatPr baseColWidth="10" defaultRowHeight="14.5" x14ac:dyDescent="0.35"/>
  <cols>
    <col min="1" max="1" width="8.7265625" customWidth="1"/>
    <col min="2" max="31" width="3.90625" customWidth="1"/>
    <col min="32" max="32" width="4.08984375" customWidth="1"/>
    <col min="33" max="33" width="2.26953125" customWidth="1"/>
    <col min="34" max="34" width="6.1796875" customWidth="1"/>
    <col min="35" max="42" width="9.1796875" customWidth="1"/>
  </cols>
  <sheetData>
    <row r="1" spans="1:48" ht="23.5" x14ac:dyDescent="0.35">
      <c r="A1" s="201" t="s">
        <v>37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202"/>
      <c r="AL1" s="202"/>
      <c r="AM1" s="202"/>
      <c r="AN1" s="202"/>
      <c r="AO1" s="202"/>
      <c r="AP1" s="202"/>
      <c r="AQ1" s="202"/>
      <c r="AR1" s="202"/>
      <c r="AS1" s="202"/>
    </row>
    <row r="2" spans="1:48" ht="9.5" customHeight="1" thickBot="1" x14ac:dyDescent="0.4"/>
    <row r="3" spans="1:48" ht="69.5" customHeight="1" thickTop="1" thickBot="1" x14ac:dyDescent="0.4">
      <c r="A3" s="1"/>
      <c r="B3" s="20">
        <v>45839</v>
      </c>
      <c r="C3" s="20">
        <v>45840</v>
      </c>
      <c r="D3" s="20">
        <v>45841</v>
      </c>
      <c r="E3" s="20">
        <v>45842</v>
      </c>
      <c r="F3" s="20">
        <v>45843</v>
      </c>
      <c r="G3" s="20">
        <v>45844</v>
      </c>
      <c r="H3" s="20">
        <v>45845</v>
      </c>
      <c r="I3" s="20">
        <v>45846</v>
      </c>
      <c r="J3" s="20">
        <v>45847</v>
      </c>
      <c r="K3" s="20">
        <v>45848</v>
      </c>
      <c r="L3" s="20">
        <v>45849</v>
      </c>
      <c r="M3" s="20">
        <v>45850</v>
      </c>
      <c r="N3" s="20">
        <v>45851</v>
      </c>
      <c r="O3" s="20">
        <v>45852</v>
      </c>
      <c r="P3" s="20">
        <v>45853</v>
      </c>
      <c r="Q3" s="20">
        <v>45854</v>
      </c>
      <c r="R3" s="20">
        <v>45855</v>
      </c>
      <c r="S3" s="20">
        <v>45856</v>
      </c>
      <c r="T3" s="20">
        <v>45857</v>
      </c>
      <c r="U3" s="20">
        <v>45858</v>
      </c>
      <c r="V3" s="20">
        <v>45859</v>
      </c>
      <c r="W3" s="20">
        <v>45860</v>
      </c>
      <c r="X3" s="20">
        <v>45861</v>
      </c>
      <c r="Y3" s="20">
        <v>45862</v>
      </c>
      <c r="Z3" s="20">
        <v>45863</v>
      </c>
      <c r="AA3" s="20">
        <v>45864</v>
      </c>
      <c r="AB3" s="20">
        <v>45865</v>
      </c>
      <c r="AC3" s="20">
        <v>45866</v>
      </c>
      <c r="AD3" s="20">
        <v>45867</v>
      </c>
      <c r="AE3" s="192">
        <v>45868</v>
      </c>
      <c r="AF3" s="193">
        <v>45869</v>
      </c>
      <c r="AG3" s="3"/>
      <c r="AI3" s="104" t="s">
        <v>9</v>
      </c>
      <c r="AJ3" s="105" t="s">
        <v>10</v>
      </c>
      <c r="AK3" s="105" t="s">
        <v>17</v>
      </c>
      <c r="AL3" s="106" t="s">
        <v>11</v>
      </c>
      <c r="AM3" s="106" t="s">
        <v>12</v>
      </c>
      <c r="AN3" s="107" t="s">
        <v>38</v>
      </c>
      <c r="AO3" s="107" t="s">
        <v>39</v>
      </c>
      <c r="AP3" s="181" t="s">
        <v>16</v>
      </c>
      <c r="AQ3" s="162" t="s">
        <v>21</v>
      </c>
      <c r="AR3" s="162" t="s">
        <v>22</v>
      </c>
      <c r="AS3" s="163" t="s">
        <v>16</v>
      </c>
      <c r="AT3" s="153"/>
      <c r="AU3" s="153"/>
      <c r="AV3" s="153"/>
    </row>
    <row r="4" spans="1:48" ht="24" customHeight="1" thickTop="1" thickBot="1" x14ac:dyDescent="0.4">
      <c r="A4" s="23" t="s">
        <v>0</v>
      </c>
      <c r="B4" s="24">
        <v>41</v>
      </c>
      <c r="C4" s="25">
        <v>7</v>
      </c>
      <c r="D4" s="26">
        <v>4</v>
      </c>
      <c r="E4" s="26">
        <v>70</v>
      </c>
      <c r="F4" s="26">
        <v>29</v>
      </c>
      <c r="G4" s="172">
        <v>8</v>
      </c>
      <c r="H4" s="26">
        <v>2</v>
      </c>
      <c r="I4" s="26">
        <v>8</v>
      </c>
      <c r="J4" s="172">
        <v>7</v>
      </c>
      <c r="K4" s="172">
        <v>8</v>
      </c>
      <c r="L4" s="26">
        <v>19</v>
      </c>
      <c r="M4" s="26">
        <v>25</v>
      </c>
      <c r="N4" s="26">
        <v>39</v>
      </c>
      <c r="O4" s="26">
        <v>24</v>
      </c>
      <c r="P4" s="26">
        <v>20</v>
      </c>
      <c r="Q4" s="26">
        <v>8</v>
      </c>
      <c r="R4" s="26">
        <v>20</v>
      </c>
      <c r="S4" s="26">
        <v>27</v>
      </c>
      <c r="T4" s="26">
        <v>10</v>
      </c>
      <c r="U4" s="26">
        <v>2</v>
      </c>
      <c r="V4" s="26">
        <v>10</v>
      </c>
      <c r="W4" s="26">
        <v>12</v>
      </c>
      <c r="X4" s="26">
        <v>20</v>
      </c>
      <c r="Y4" s="26">
        <v>10</v>
      </c>
      <c r="Z4" s="26">
        <v>13</v>
      </c>
      <c r="AA4" s="26">
        <v>42</v>
      </c>
      <c r="AB4" s="26">
        <v>87</v>
      </c>
      <c r="AC4" s="26">
        <v>38</v>
      </c>
      <c r="AD4" s="25">
        <v>49</v>
      </c>
      <c r="AE4" s="50">
        <v>59</v>
      </c>
      <c r="AF4" s="50">
        <v>2</v>
      </c>
      <c r="AH4" s="155" t="s">
        <v>0</v>
      </c>
      <c r="AI4" s="170">
        <f>SUM(B4:AE4)</f>
        <v>718</v>
      </c>
      <c r="AJ4" s="157">
        <f>AVERAGE(B4:AE4)</f>
        <v>23.933333333333334</v>
      </c>
      <c r="AK4" s="5">
        <v>18</v>
      </c>
      <c r="AL4" s="15">
        <f>AF4-AK4</f>
        <v>-16</v>
      </c>
      <c r="AM4" s="160">
        <f>AJ4-AK4</f>
        <v>5.9333333333333336</v>
      </c>
      <c r="AN4" s="158">
        <f>AI4</f>
        <v>718</v>
      </c>
      <c r="AO4" s="5">
        <v>814</v>
      </c>
      <c r="AP4" s="15">
        <f>AN4-AO4</f>
        <v>-96</v>
      </c>
      <c r="AQ4" s="158">
        <f>'Juin 25 '!AP4+'Juillet 25  '!AN4</f>
        <v>4261.29</v>
      </c>
      <c r="AR4" s="5">
        <f>'Juin 25 '!AQ4+'Juillet 25  '!AO4</f>
        <v>4375</v>
      </c>
      <c r="AS4" s="187">
        <f>AQ4-AR4</f>
        <v>-113.71000000000004</v>
      </c>
    </row>
    <row r="5" spans="1:48" ht="24" customHeight="1" thickBot="1" x14ac:dyDescent="0.4">
      <c r="A5" s="27" t="s">
        <v>1</v>
      </c>
      <c r="B5" s="17">
        <v>104</v>
      </c>
      <c r="C5" s="5">
        <v>4</v>
      </c>
      <c r="D5" s="6">
        <v>3</v>
      </c>
      <c r="E5" s="6">
        <v>5</v>
      </c>
      <c r="F5" s="6">
        <v>12</v>
      </c>
      <c r="G5" s="6">
        <v>15</v>
      </c>
      <c r="H5" s="6">
        <v>124</v>
      </c>
      <c r="I5" s="6">
        <v>1</v>
      </c>
      <c r="J5" s="6">
        <v>17</v>
      </c>
      <c r="K5" s="6">
        <v>0</v>
      </c>
      <c r="L5" s="6">
        <v>13</v>
      </c>
      <c r="M5" s="6">
        <v>7</v>
      </c>
      <c r="N5" s="6">
        <v>26</v>
      </c>
      <c r="O5" s="6">
        <v>12</v>
      </c>
      <c r="P5" s="6">
        <v>41</v>
      </c>
      <c r="Q5" s="6">
        <v>23</v>
      </c>
      <c r="R5" s="6">
        <v>111</v>
      </c>
      <c r="S5" s="6">
        <v>19</v>
      </c>
      <c r="T5" s="6">
        <v>19</v>
      </c>
      <c r="U5" s="6">
        <v>54</v>
      </c>
      <c r="V5" s="6">
        <v>76</v>
      </c>
      <c r="W5" s="6">
        <v>0</v>
      </c>
      <c r="X5" s="6">
        <v>13</v>
      </c>
      <c r="Y5" s="6">
        <v>5</v>
      </c>
      <c r="Z5" s="6">
        <v>7</v>
      </c>
      <c r="AA5" s="6">
        <v>6</v>
      </c>
      <c r="AB5" s="6">
        <v>65</v>
      </c>
      <c r="AC5" s="6">
        <v>46</v>
      </c>
      <c r="AD5" s="5">
        <v>17</v>
      </c>
      <c r="AE5" s="13">
        <v>26</v>
      </c>
      <c r="AF5" s="13">
        <v>20</v>
      </c>
      <c r="AH5" s="155" t="s">
        <v>1</v>
      </c>
      <c r="AI5" s="156">
        <f>SUM(B5:AE5)</f>
        <v>871</v>
      </c>
      <c r="AJ5" s="157">
        <f>AVERAGE(B5:AE5)</f>
        <v>29.033333333333335</v>
      </c>
      <c r="AK5" s="5">
        <v>18</v>
      </c>
      <c r="AL5" s="160">
        <f t="shared" ref="AL5:AL11" si="0">AF5-AK5</f>
        <v>2</v>
      </c>
      <c r="AM5" s="160">
        <f>AJ5-AK5</f>
        <v>11.033333333333335</v>
      </c>
      <c r="AN5" s="5">
        <f>AI5</f>
        <v>871</v>
      </c>
      <c r="AO5" s="5">
        <v>1205</v>
      </c>
      <c r="AP5" s="14">
        <f t="shared" ref="AP5:AP6" si="1">AN5-AO5</f>
        <v>-334</v>
      </c>
      <c r="AQ5" s="158">
        <f>'Juin 25 '!AP5+'Juillet 25  '!AN5</f>
        <v>6302</v>
      </c>
      <c r="AR5" s="5">
        <f>'Juin 25 '!AQ5+'Juillet 25  '!AO5</f>
        <v>4422</v>
      </c>
      <c r="AS5" s="169">
        <f t="shared" ref="AS5:AS10" si="2">AQ5-AR5</f>
        <v>1880</v>
      </c>
    </row>
    <row r="6" spans="1:48" ht="24" customHeight="1" thickBot="1" x14ac:dyDescent="0.4">
      <c r="A6" s="27" t="s">
        <v>2</v>
      </c>
      <c r="B6" s="17">
        <v>28</v>
      </c>
      <c r="C6" s="5">
        <v>91</v>
      </c>
      <c r="D6" s="6">
        <v>0</v>
      </c>
      <c r="E6" s="6">
        <v>154</v>
      </c>
      <c r="F6" s="6">
        <v>46</v>
      </c>
      <c r="G6" s="6">
        <v>27</v>
      </c>
      <c r="H6" s="6">
        <v>34</v>
      </c>
      <c r="I6" s="6">
        <v>115</v>
      </c>
      <c r="J6" s="6">
        <v>45</v>
      </c>
      <c r="K6" s="6">
        <v>21</v>
      </c>
      <c r="L6" s="6">
        <v>0</v>
      </c>
      <c r="M6" s="6">
        <v>13</v>
      </c>
      <c r="N6" s="6">
        <v>31</v>
      </c>
      <c r="O6" s="6">
        <v>39</v>
      </c>
      <c r="P6" s="6">
        <v>24</v>
      </c>
      <c r="Q6" s="6">
        <v>0</v>
      </c>
      <c r="R6" s="6">
        <v>4</v>
      </c>
      <c r="S6" s="6">
        <v>10</v>
      </c>
      <c r="T6" s="6">
        <v>7</v>
      </c>
      <c r="U6" s="6">
        <v>3</v>
      </c>
      <c r="V6" s="6">
        <v>37</v>
      </c>
      <c r="W6" s="6">
        <v>2</v>
      </c>
      <c r="X6" s="6">
        <v>0</v>
      </c>
      <c r="Y6" s="6">
        <v>0</v>
      </c>
      <c r="Z6" s="6">
        <v>24</v>
      </c>
      <c r="AA6" s="6">
        <v>10</v>
      </c>
      <c r="AB6" s="6">
        <v>26</v>
      </c>
      <c r="AC6" s="6">
        <v>59</v>
      </c>
      <c r="AD6" s="5">
        <v>10</v>
      </c>
      <c r="AE6" s="13">
        <v>30</v>
      </c>
      <c r="AF6" s="13">
        <v>0</v>
      </c>
      <c r="AH6" s="155" t="s">
        <v>2</v>
      </c>
      <c r="AI6" s="170">
        <f>SUM(B6:AE6)</f>
        <v>890</v>
      </c>
      <c r="AJ6" s="157">
        <f>AVERAGE(B6:AE6)</f>
        <v>29.666666666666668</v>
      </c>
      <c r="AK6" s="5">
        <v>18</v>
      </c>
      <c r="AL6" s="15">
        <f t="shared" si="0"/>
        <v>-18</v>
      </c>
      <c r="AM6" s="160">
        <f t="shared" ref="AM6:AM10" si="3">AJ6-AK6</f>
        <v>11.666666666666668</v>
      </c>
      <c r="AN6" s="158">
        <f>AI6</f>
        <v>890</v>
      </c>
      <c r="AO6" s="5">
        <v>367</v>
      </c>
      <c r="AP6" s="160">
        <f t="shared" si="1"/>
        <v>523</v>
      </c>
      <c r="AQ6" s="158">
        <f>'Juin 25 '!AP6+'Juillet 25  '!AN6</f>
        <v>5301.37</v>
      </c>
      <c r="AR6" s="5">
        <f>'Juin 25 '!AQ6+'Juillet 25  '!AO6</f>
        <v>2300</v>
      </c>
      <c r="AS6" s="169">
        <f t="shared" si="2"/>
        <v>3001.37</v>
      </c>
    </row>
    <row r="7" spans="1:48" ht="29" customHeight="1" thickBot="1" x14ac:dyDescent="0.4">
      <c r="A7" s="28" t="s">
        <v>13</v>
      </c>
      <c r="B7" s="29">
        <f>AVERAGE(B4:B6)</f>
        <v>57.666666666666664</v>
      </c>
      <c r="C7" s="29">
        <f t="shared" ref="C7:AF7" si="4">AVERAGE(C4:C6)</f>
        <v>34</v>
      </c>
      <c r="D7" s="29">
        <f t="shared" si="4"/>
        <v>2.3333333333333335</v>
      </c>
      <c r="E7" s="29">
        <f t="shared" si="4"/>
        <v>76.333333333333329</v>
      </c>
      <c r="F7" s="29">
        <f t="shared" si="4"/>
        <v>29</v>
      </c>
      <c r="G7" s="29">
        <f t="shared" si="4"/>
        <v>16.666666666666668</v>
      </c>
      <c r="H7" s="29">
        <f t="shared" si="4"/>
        <v>53.333333333333336</v>
      </c>
      <c r="I7" s="29">
        <f t="shared" si="4"/>
        <v>41.333333333333336</v>
      </c>
      <c r="J7" s="29">
        <f t="shared" si="4"/>
        <v>23</v>
      </c>
      <c r="K7" s="29">
        <f t="shared" si="4"/>
        <v>9.6666666666666661</v>
      </c>
      <c r="L7" s="29">
        <f t="shared" si="4"/>
        <v>10.666666666666666</v>
      </c>
      <c r="M7" s="29">
        <f t="shared" si="4"/>
        <v>15</v>
      </c>
      <c r="N7" s="29">
        <f t="shared" si="4"/>
        <v>32</v>
      </c>
      <c r="O7" s="29">
        <f t="shared" si="4"/>
        <v>25</v>
      </c>
      <c r="P7" s="29">
        <f t="shared" si="4"/>
        <v>28.333333333333332</v>
      </c>
      <c r="Q7" s="29">
        <f t="shared" si="4"/>
        <v>10.333333333333334</v>
      </c>
      <c r="R7" s="29">
        <f t="shared" si="4"/>
        <v>45</v>
      </c>
      <c r="S7" s="29">
        <f t="shared" si="4"/>
        <v>18.666666666666668</v>
      </c>
      <c r="T7" s="29">
        <f t="shared" si="4"/>
        <v>12</v>
      </c>
      <c r="U7" s="29">
        <f t="shared" si="4"/>
        <v>19.666666666666668</v>
      </c>
      <c r="V7" s="29">
        <f t="shared" si="4"/>
        <v>41</v>
      </c>
      <c r="W7" s="29">
        <f t="shared" si="4"/>
        <v>4.666666666666667</v>
      </c>
      <c r="X7" s="29">
        <f t="shared" si="4"/>
        <v>11</v>
      </c>
      <c r="Y7" s="29">
        <f t="shared" si="4"/>
        <v>5</v>
      </c>
      <c r="Z7" s="29">
        <f t="shared" si="4"/>
        <v>14.666666666666666</v>
      </c>
      <c r="AA7" s="29">
        <f t="shared" si="4"/>
        <v>19.333333333333332</v>
      </c>
      <c r="AB7" s="29">
        <f t="shared" si="4"/>
        <v>59.333333333333336</v>
      </c>
      <c r="AC7" s="29">
        <f t="shared" si="4"/>
        <v>47.666666666666664</v>
      </c>
      <c r="AD7" s="29">
        <f t="shared" si="4"/>
        <v>25.333333333333332</v>
      </c>
      <c r="AE7" s="29">
        <f t="shared" si="4"/>
        <v>38.333333333333336</v>
      </c>
      <c r="AF7" s="29">
        <f t="shared" si="4"/>
        <v>7.333333333333333</v>
      </c>
      <c r="AH7" s="155" t="s">
        <v>6</v>
      </c>
      <c r="AI7" s="120">
        <f>AVERAGE(AI4:AI6)</f>
        <v>826.33333333333337</v>
      </c>
      <c r="AJ7" s="121">
        <f>AVERAGE(AJ4:AJ6)</f>
        <v>27.544444444444448</v>
      </c>
      <c r="AK7" s="122">
        <v>18</v>
      </c>
      <c r="AL7" s="184">
        <f t="shared" si="0"/>
        <v>-10.666666666666668</v>
      </c>
      <c r="AM7" s="141">
        <f t="shared" si="3"/>
        <v>9.5444444444444478</v>
      </c>
      <c r="AN7" s="132">
        <f>SUM(AN4:AN6)</f>
        <v>2479</v>
      </c>
      <c r="AO7" s="132">
        <f>SUM(AO4:AO6)</f>
        <v>2386</v>
      </c>
      <c r="AP7" s="141">
        <f>AN7-AO7</f>
        <v>93</v>
      </c>
      <c r="AQ7" s="132">
        <f>'Juin 25 '!AP7+'Juillet 25  '!AN7</f>
        <v>15864.66</v>
      </c>
      <c r="AR7" s="132">
        <f>'Juin 25 '!AQ7+'Juillet 25  '!AO7</f>
        <v>11097</v>
      </c>
      <c r="AS7" s="138">
        <f t="shared" si="2"/>
        <v>4767.66</v>
      </c>
    </row>
    <row r="8" spans="1:48" ht="24" customHeight="1" thickTop="1" thickBot="1" x14ac:dyDescent="0.4">
      <c r="A8" s="33" t="s">
        <v>3</v>
      </c>
      <c r="B8" s="95">
        <v>11</v>
      </c>
      <c r="C8" s="26">
        <v>5</v>
      </c>
      <c r="D8" s="26">
        <v>20</v>
      </c>
      <c r="E8" s="26">
        <v>61</v>
      </c>
      <c r="F8" s="26">
        <v>4</v>
      </c>
      <c r="G8" s="172">
        <v>0</v>
      </c>
      <c r="H8" s="26">
        <v>0</v>
      </c>
      <c r="I8" s="26">
        <v>0</v>
      </c>
      <c r="J8" s="172">
        <v>0</v>
      </c>
      <c r="K8" s="26">
        <v>0</v>
      </c>
      <c r="L8" s="26">
        <v>0</v>
      </c>
      <c r="M8" s="26">
        <v>5</v>
      </c>
      <c r="N8" s="26">
        <v>4</v>
      </c>
      <c r="O8" s="26">
        <v>4</v>
      </c>
      <c r="P8" s="26">
        <v>12</v>
      </c>
      <c r="Q8" s="26">
        <v>50</v>
      </c>
      <c r="R8" s="26">
        <v>0</v>
      </c>
      <c r="S8" s="26">
        <v>0</v>
      </c>
      <c r="T8" s="26">
        <v>11</v>
      </c>
      <c r="U8" s="26">
        <v>30</v>
      </c>
      <c r="V8" s="26">
        <v>3</v>
      </c>
      <c r="W8" s="26">
        <v>21</v>
      </c>
      <c r="X8" s="26">
        <v>7</v>
      </c>
      <c r="Y8" s="26">
        <v>34</v>
      </c>
      <c r="Z8" s="26">
        <v>31</v>
      </c>
      <c r="AA8" s="26">
        <v>0</v>
      </c>
      <c r="AB8" s="26">
        <v>141</v>
      </c>
      <c r="AC8" s="26">
        <v>15</v>
      </c>
      <c r="AD8" s="25">
        <v>81</v>
      </c>
      <c r="AE8" s="50">
        <v>47</v>
      </c>
      <c r="AF8" s="50">
        <v>37</v>
      </c>
      <c r="AH8" s="161" t="s">
        <v>3</v>
      </c>
      <c r="AI8" s="170">
        <f>SUM(B8:AE8)</f>
        <v>597</v>
      </c>
      <c r="AJ8" s="157">
        <f>AVERAGE(B8:AE8)</f>
        <v>19.899999999999999</v>
      </c>
      <c r="AK8" s="5">
        <v>18</v>
      </c>
      <c r="AL8" s="160">
        <f t="shared" si="0"/>
        <v>19</v>
      </c>
      <c r="AM8" s="160">
        <f t="shared" si="3"/>
        <v>1.8999999999999986</v>
      </c>
      <c r="AN8" s="158">
        <f>AI8</f>
        <v>597</v>
      </c>
      <c r="AO8" s="5">
        <v>159</v>
      </c>
      <c r="AP8" s="160">
        <f>AN8-AO8</f>
        <v>438</v>
      </c>
      <c r="AQ8" s="158">
        <f>'Juin 25 '!AP8+'Juillet 25  '!AN8</f>
        <v>3045.7</v>
      </c>
      <c r="AR8" s="5">
        <f>'Juin 25 '!AQ8+'Juillet 25  '!AO8</f>
        <v>1597</v>
      </c>
      <c r="AS8" s="169">
        <f t="shared" si="2"/>
        <v>1448.6999999999998</v>
      </c>
    </row>
    <row r="9" spans="1:48" ht="24" customHeight="1" thickBot="1" x14ac:dyDescent="0.4">
      <c r="A9" s="36" t="s">
        <v>4</v>
      </c>
      <c r="B9" s="96">
        <v>12</v>
      </c>
      <c r="C9" s="6">
        <v>13</v>
      </c>
      <c r="D9" s="6">
        <v>0</v>
      </c>
      <c r="E9" s="6">
        <v>96</v>
      </c>
      <c r="F9" s="6">
        <v>7</v>
      </c>
      <c r="G9" s="6">
        <v>0</v>
      </c>
      <c r="H9" s="6">
        <v>42</v>
      </c>
      <c r="I9" s="6">
        <v>6</v>
      </c>
      <c r="J9" s="6">
        <v>0</v>
      </c>
      <c r="K9" s="6">
        <v>0</v>
      </c>
      <c r="L9" s="6">
        <v>0</v>
      </c>
      <c r="M9" s="6">
        <v>34</v>
      </c>
      <c r="N9" s="6">
        <v>15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47</v>
      </c>
      <c r="U9" s="6">
        <v>64</v>
      </c>
      <c r="V9" s="6">
        <v>46</v>
      </c>
      <c r="W9" s="6">
        <v>24</v>
      </c>
      <c r="X9" s="6">
        <v>21</v>
      </c>
      <c r="Y9" s="6">
        <v>0</v>
      </c>
      <c r="Z9" s="6">
        <v>0</v>
      </c>
      <c r="AA9" s="6">
        <v>26</v>
      </c>
      <c r="AB9" s="6">
        <v>44</v>
      </c>
      <c r="AC9" s="6">
        <v>65</v>
      </c>
      <c r="AD9" s="5">
        <v>114</v>
      </c>
      <c r="AE9" s="13">
        <v>140</v>
      </c>
      <c r="AF9" s="13">
        <v>10</v>
      </c>
      <c r="AH9" s="161" t="s">
        <v>4</v>
      </c>
      <c r="AI9" s="156">
        <f>SUM(B9:AE9)</f>
        <v>816</v>
      </c>
      <c r="AJ9" s="157">
        <f>AVERAGE(B9:AE9)</f>
        <v>27.2</v>
      </c>
      <c r="AK9" s="5">
        <v>18</v>
      </c>
      <c r="AL9" s="15">
        <f t="shared" si="0"/>
        <v>-8</v>
      </c>
      <c r="AM9" s="160">
        <f t="shared" si="3"/>
        <v>9.1999999999999993</v>
      </c>
      <c r="AN9" s="5">
        <f>AI9</f>
        <v>816</v>
      </c>
      <c r="AO9" s="5">
        <v>974</v>
      </c>
      <c r="AP9" s="14">
        <f>AN9-AO9</f>
        <v>-158</v>
      </c>
      <c r="AQ9" s="158">
        <f>'Juin 25 '!AP9+'Juillet 25  '!AN9</f>
        <v>4157</v>
      </c>
      <c r="AR9" s="5">
        <f>'Juin 25 '!AQ9+'Juillet 25  '!AO9</f>
        <v>4056</v>
      </c>
      <c r="AS9" s="169">
        <f t="shared" si="2"/>
        <v>101</v>
      </c>
    </row>
    <row r="10" spans="1:48" ht="24" customHeight="1" thickBot="1" x14ac:dyDescent="0.4">
      <c r="A10" s="36" t="s">
        <v>5</v>
      </c>
      <c r="B10" s="97">
        <v>40</v>
      </c>
      <c r="C10" s="6">
        <v>0</v>
      </c>
      <c r="D10" s="6">
        <v>11</v>
      </c>
      <c r="E10" s="6">
        <v>46</v>
      </c>
      <c r="F10" s="6">
        <v>10</v>
      </c>
      <c r="G10" s="6">
        <v>3</v>
      </c>
      <c r="H10" s="6">
        <v>10</v>
      </c>
      <c r="I10" s="6">
        <v>0</v>
      </c>
      <c r="J10" s="6">
        <v>15</v>
      </c>
      <c r="K10" s="6">
        <v>0</v>
      </c>
      <c r="L10" s="6">
        <v>0</v>
      </c>
      <c r="M10" s="6">
        <v>26</v>
      </c>
      <c r="N10" s="6">
        <v>35</v>
      </c>
      <c r="O10" s="6">
        <v>5</v>
      </c>
      <c r="P10" s="6">
        <v>12</v>
      </c>
      <c r="Q10" s="6">
        <v>20</v>
      </c>
      <c r="R10" s="6">
        <v>0</v>
      </c>
      <c r="S10" s="6">
        <v>0</v>
      </c>
      <c r="T10" s="6">
        <v>11</v>
      </c>
      <c r="U10" s="6">
        <v>24</v>
      </c>
      <c r="V10" s="6">
        <v>25</v>
      </c>
      <c r="W10" s="6">
        <v>24</v>
      </c>
      <c r="X10" s="6">
        <v>7</v>
      </c>
      <c r="Y10" s="6">
        <v>11</v>
      </c>
      <c r="Z10" s="6">
        <v>5</v>
      </c>
      <c r="AA10" s="6">
        <v>24</v>
      </c>
      <c r="AB10" s="6">
        <v>15</v>
      </c>
      <c r="AC10" s="6">
        <v>16</v>
      </c>
      <c r="AD10" s="5">
        <v>48</v>
      </c>
      <c r="AE10" s="13">
        <v>194</v>
      </c>
      <c r="AF10" s="13">
        <v>8</v>
      </c>
      <c r="AH10" s="161" t="s">
        <v>5</v>
      </c>
      <c r="AI10" s="156">
        <f>SUM(B10:AE10)</f>
        <v>637</v>
      </c>
      <c r="AJ10" s="157">
        <f>AVERAGE(B10:AE10)</f>
        <v>21.233333333333334</v>
      </c>
      <c r="AK10" s="5">
        <v>18</v>
      </c>
      <c r="AL10" s="15">
        <f t="shared" si="0"/>
        <v>-10</v>
      </c>
      <c r="AM10" s="160">
        <f t="shared" si="3"/>
        <v>3.2333333333333343</v>
      </c>
      <c r="AN10" s="5">
        <f>AI10</f>
        <v>637</v>
      </c>
      <c r="AO10" s="5">
        <v>58</v>
      </c>
      <c r="AP10" s="182">
        <f t="shared" ref="AP10" si="5">AN10-AO10</f>
        <v>579</v>
      </c>
      <c r="AQ10" s="158">
        <f>'Juin 25 '!AP10+'Juillet 25  '!AN10</f>
        <v>3256</v>
      </c>
      <c r="AR10" s="5">
        <f>'Juin 25 '!AQ10+'Juillet 25  '!AO10</f>
        <v>1798</v>
      </c>
      <c r="AS10" s="169">
        <f t="shared" si="2"/>
        <v>1458</v>
      </c>
    </row>
    <row r="11" spans="1:48" ht="24" customHeight="1" thickBot="1" x14ac:dyDescent="0.4">
      <c r="A11" s="37" t="s">
        <v>7</v>
      </c>
      <c r="B11" s="128">
        <f>AVERAGE(B8:B10)</f>
        <v>21</v>
      </c>
      <c r="C11" s="128">
        <f>AVERAGE(C8:C10)</f>
        <v>6</v>
      </c>
      <c r="D11" s="38">
        <f t="shared" ref="D11:AF11" si="6">AVERAGE(D8:D10)</f>
        <v>10.333333333333334</v>
      </c>
      <c r="E11" s="128">
        <f t="shared" si="6"/>
        <v>67.666666666666671</v>
      </c>
      <c r="F11" s="128">
        <f t="shared" si="6"/>
        <v>7</v>
      </c>
      <c r="G11" s="128">
        <f t="shared" si="6"/>
        <v>1</v>
      </c>
      <c r="H11" s="128">
        <f t="shared" si="6"/>
        <v>17.333333333333332</v>
      </c>
      <c r="I11" s="128">
        <f t="shared" si="6"/>
        <v>2</v>
      </c>
      <c r="J11" s="128">
        <f t="shared" si="6"/>
        <v>5</v>
      </c>
      <c r="K11" s="128">
        <f t="shared" si="6"/>
        <v>0</v>
      </c>
      <c r="L11" s="128">
        <f t="shared" si="6"/>
        <v>0</v>
      </c>
      <c r="M11" s="128">
        <f t="shared" si="6"/>
        <v>21.666666666666668</v>
      </c>
      <c r="N11" s="128">
        <f t="shared" si="6"/>
        <v>18</v>
      </c>
      <c r="O11" s="128">
        <f t="shared" si="6"/>
        <v>3</v>
      </c>
      <c r="P11" s="128">
        <f t="shared" si="6"/>
        <v>8</v>
      </c>
      <c r="Q11" s="128">
        <f t="shared" si="6"/>
        <v>23.333333333333332</v>
      </c>
      <c r="R11" s="128">
        <f t="shared" si="6"/>
        <v>0</v>
      </c>
      <c r="S11" s="128">
        <f t="shared" si="6"/>
        <v>0</v>
      </c>
      <c r="T11" s="128">
        <f t="shared" si="6"/>
        <v>23</v>
      </c>
      <c r="U11" s="128">
        <f t="shared" si="6"/>
        <v>39.333333333333336</v>
      </c>
      <c r="V11" s="128">
        <f t="shared" si="6"/>
        <v>24.666666666666668</v>
      </c>
      <c r="W11" s="128">
        <f t="shared" si="6"/>
        <v>23</v>
      </c>
      <c r="X11" s="128">
        <f t="shared" si="6"/>
        <v>11.666666666666666</v>
      </c>
      <c r="Y11" s="128">
        <f t="shared" si="6"/>
        <v>15</v>
      </c>
      <c r="Z11" s="128">
        <f t="shared" si="6"/>
        <v>12</v>
      </c>
      <c r="AA11" s="128">
        <f t="shared" si="6"/>
        <v>16.666666666666668</v>
      </c>
      <c r="AB11" s="128">
        <f t="shared" si="6"/>
        <v>66.666666666666671</v>
      </c>
      <c r="AC11" s="128">
        <f t="shared" si="6"/>
        <v>32</v>
      </c>
      <c r="AD11" s="128">
        <f t="shared" si="6"/>
        <v>81</v>
      </c>
      <c r="AE11" s="128">
        <f t="shared" si="6"/>
        <v>127</v>
      </c>
      <c r="AF11" s="128">
        <f t="shared" si="6"/>
        <v>18.333333333333332</v>
      </c>
      <c r="AH11" s="161" t="s">
        <v>7</v>
      </c>
      <c r="AI11" s="123">
        <f>AVERAGE(AI8:AI10)</f>
        <v>683.33333333333337</v>
      </c>
      <c r="AJ11" s="124">
        <f>AVERAGE(AJ8:AJ10)</f>
        <v>22.777777777777775</v>
      </c>
      <c r="AK11" s="125">
        <v>18</v>
      </c>
      <c r="AL11" s="180">
        <f t="shared" si="0"/>
        <v>0.33333333333333215</v>
      </c>
      <c r="AM11" s="174">
        <f>AJ11-AK11</f>
        <v>4.777777777777775</v>
      </c>
      <c r="AN11" s="136">
        <f>SUM(AN8:AN10)</f>
        <v>2050</v>
      </c>
      <c r="AO11" s="136">
        <f>SUM(AO8:AO10)</f>
        <v>1191</v>
      </c>
      <c r="AP11" s="174">
        <f>AN11-AO11</f>
        <v>859</v>
      </c>
      <c r="AQ11" s="136">
        <f>'Juin 25 '!AP11+'Juillet 25  '!AN11</f>
        <v>10458.700000000001</v>
      </c>
      <c r="AR11" s="136">
        <f>'Juin 25 '!AQ11+'Juillet 25  '!AO11</f>
        <v>7445</v>
      </c>
      <c r="AS11" s="146">
        <f>AQ11-AR11</f>
        <v>3013.7000000000007</v>
      </c>
    </row>
    <row r="12" spans="1:48" ht="9.5" customHeight="1" thickTop="1" thickBot="1" x14ac:dyDescent="0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J12" s="4"/>
      <c r="AK12" s="7"/>
      <c r="AL12" s="15"/>
      <c r="AM12" s="194"/>
      <c r="AN12" s="10"/>
      <c r="AP12" s="191"/>
      <c r="AQ12" s="158"/>
      <c r="AR12" s="5"/>
    </row>
    <row r="13" spans="1:48" ht="59" customHeight="1" thickTop="1" thickBot="1" x14ac:dyDescent="0.4">
      <c r="A13" s="42" t="s">
        <v>8</v>
      </c>
      <c r="B13" s="43">
        <f>AVERAGE(B11,B7)</f>
        <v>39.333333333333329</v>
      </c>
      <c r="C13" s="43">
        <f t="shared" ref="C13:AF13" si="7">AVERAGE(C11,C7)</f>
        <v>20</v>
      </c>
      <c r="D13" s="43">
        <f t="shared" si="7"/>
        <v>6.3333333333333339</v>
      </c>
      <c r="E13" s="43">
        <f t="shared" si="7"/>
        <v>72</v>
      </c>
      <c r="F13" s="43">
        <f t="shared" si="7"/>
        <v>18</v>
      </c>
      <c r="G13" s="43">
        <f t="shared" si="7"/>
        <v>8.8333333333333339</v>
      </c>
      <c r="H13" s="43">
        <f t="shared" si="7"/>
        <v>35.333333333333336</v>
      </c>
      <c r="I13" s="43">
        <f t="shared" si="7"/>
        <v>21.666666666666668</v>
      </c>
      <c r="J13" s="43">
        <f t="shared" si="7"/>
        <v>14</v>
      </c>
      <c r="K13" s="43">
        <f t="shared" si="7"/>
        <v>4.833333333333333</v>
      </c>
      <c r="L13" s="43">
        <f t="shared" si="7"/>
        <v>5.333333333333333</v>
      </c>
      <c r="M13" s="43">
        <f t="shared" si="7"/>
        <v>18.333333333333336</v>
      </c>
      <c r="N13" s="43">
        <f t="shared" si="7"/>
        <v>25</v>
      </c>
      <c r="O13" s="43">
        <f t="shared" si="7"/>
        <v>14</v>
      </c>
      <c r="P13" s="43">
        <f t="shared" si="7"/>
        <v>18.166666666666664</v>
      </c>
      <c r="Q13" s="43">
        <f t="shared" si="7"/>
        <v>16.833333333333332</v>
      </c>
      <c r="R13" s="43">
        <f t="shared" si="7"/>
        <v>22.5</v>
      </c>
      <c r="S13" s="43">
        <f t="shared" si="7"/>
        <v>9.3333333333333339</v>
      </c>
      <c r="T13" s="43">
        <f t="shared" si="7"/>
        <v>17.5</v>
      </c>
      <c r="U13" s="43">
        <f t="shared" si="7"/>
        <v>29.5</v>
      </c>
      <c r="V13" s="43">
        <f t="shared" si="7"/>
        <v>32.833333333333336</v>
      </c>
      <c r="W13" s="43">
        <f t="shared" si="7"/>
        <v>13.833333333333334</v>
      </c>
      <c r="X13" s="43">
        <f t="shared" si="7"/>
        <v>11.333333333333332</v>
      </c>
      <c r="Y13" s="43">
        <f t="shared" si="7"/>
        <v>10</v>
      </c>
      <c r="Z13" s="43">
        <f t="shared" si="7"/>
        <v>13.333333333333332</v>
      </c>
      <c r="AA13" s="43">
        <f t="shared" si="7"/>
        <v>18</v>
      </c>
      <c r="AB13" s="43">
        <f t="shared" si="7"/>
        <v>63</v>
      </c>
      <c r="AC13" s="43">
        <f t="shared" si="7"/>
        <v>39.833333333333329</v>
      </c>
      <c r="AD13" s="43">
        <f t="shared" si="7"/>
        <v>53.166666666666664</v>
      </c>
      <c r="AE13" s="43">
        <f t="shared" si="7"/>
        <v>82.666666666666671</v>
      </c>
      <c r="AF13" s="43">
        <f t="shared" si="7"/>
        <v>12.833333333333332</v>
      </c>
      <c r="AH13" s="85" t="s">
        <v>8</v>
      </c>
      <c r="AI13" s="86">
        <f>AVERAGE(AI11,AI7)</f>
        <v>754.83333333333337</v>
      </c>
      <c r="AJ13" s="86">
        <f>AVERAGE(AJ11,AJ7)</f>
        <v>25.161111111111111</v>
      </c>
      <c r="AK13" s="87">
        <v>18</v>
      </c>
      <c r="AL13" s="195">
        <f>AF13-AK13</f>
        <v>-5.1666666666666679</v>
      </c>
      <c r="AM13" s="89">
        <f>AJ13-AK13</f>
        <v>7.1611111111111114</v>
      </c>
      <c r="AN13" s="87">
        <f>SUM(AN7,AN11)</f>
        <v>4529</v>
      </c>
      <c r="AO13" s="87">
        <f>SUM(AO7,AO11)</f>
        <v>3577</v>
      </c>
      <c r="AP13" s="152">
        <f>AN13-AO13</f>
        <v>952</v>
      </c>
      <c r="AQ13" s="87">
        <f>'Juin 25 '!AP13+'Juillet 25  '!AN13</f>
        <v>26323.360000000001</v>
      </c>
      <c r="AR13" s="87">
        <f>'Juin 25 '!AQ13+'Juillet 25  '!AO13</f>
        <v>18542</v>
      </c>
      <c r="AS13" s="152">
        <f>AQ13-AR13</f>
        <v>7781.3600000000006</v>
      </c>
    </row>
    <row r="14" spans="1:48" ht="15" thickTop="1" x14ac:dyDescent="0.35"/>
    <row r="15" spans="1:48" ht="21" x14ac:dyDescent="0.5">
      <c r="A15" s="176"/>
      <c r="B15" s="176"/>
      <c r="C15" s="176"/>
      <c r="D15" s="176"/>
      <c r="E15" s="176"/>
      <c r="F15" s="176"/>
      <c r="G15" s="176"/>
      <c r="H15" s="176"/>
    </row>
    <row r="16" spans="1:48" ht="23.5" x14ac:dyDescent="0.35">
      <c r="A16" s="177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</row>
    <row r="17" spans="1:21" ht="23.5" x14ac:dyDescent="0.35">
      <c r="A17" s="177"/>
      <c r="B17" s="177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</row>
    <row r="18" spans="1:21" ht="23.5" x14ac:dyDescent="0.35">
      <c r="A18" s="177"/>
      <c r="B18" s="177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</row>
  </sheetData>
  <mergeCells count="1">
    <mergeCell ref="A1:AS1"/>
  </mergeCells>
  <printOptions horizontalCentered="1" verticalCentered="1"/>
  <pageMargins left="0" right="0" top="0" bottom="0" header="0" footer="0"/>
  <pageSetup paperSize="9" scale="9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8"/>
  <sheetViews>
    <sheetView topLeftCell="X1" zoomScale="90" zoomScaleNormal="90" workbookViewId="0">
      <selection activeCell="S15" sqref="S15"/>
    </sheetView>
  </sheetViews>
  <sheetFormatPr baseColWidth="10" defaultRowHeight="14.5" x14ac:dyDescent="0.35"/>
  <cols>
    <col min="1" max="1" width="8.7265625" customWidth="1"/>
    <col min="2" max="31" width="3.90625" customWidth="1"/>
    <col min="32" max="32" width="2.26953125" customWidth="1"/>
    <col min="33" max="33" width="6.1796875" customWidth="1"/>
    <col min="34" max="41" width="9.1796875" customWidth="1"/>
  </cols>
  <sheetData>
    <row r="1" spans="1:47" ht="23.5" x14ac:dyDescent="0.35">
      <c r="A1" s="201" t="s">
        <v>34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202"/>
      <c r="AL1" s="202"/>
      <c r="AM1" s="202"/>
      <c r="AN1" s="202"/>
      <c r="AO1" s="202"/>
      <c r="AP1" s="202"/>
      <c r="AQ1" s="202"/>
      <c r="AR1" s="202"/>
    </row>
    <row r="2" spans="1:47" ht="9.5" customHeight="1" thickBot="1" x14ac:dyDescent="0.4"/>
    <row r="3" spans="1:47" ht="69.5" customHeight="1" thickTop="1" thickBot="1" x14ac:dyDescent="0.4">
      <c r="A3" s="1"/>
      <c r="B3" s="20">
        <v>45809</v>
      </c>
      <c r="C3" s="20">
        <v>45810</v>
      </c>
      <c r="D3" s="20">
        <v>45811</v>
      </c>
      <c r="E3" s="20">
        <v>45812</v>
      </c>
      <c r="F3" s="20">
        <v>45813</v>
      </c>
      <c r="G3" s="20">
        <v>45814</v>
      </c>
      <c r="H3" s="20">
        <v>45815</v>
      </c>
      <c r="I3" s="20">
        <v>45816</v>
      </c>
      <c r="J3" s="20">
        <v>45817</v>
      </c>
      <c r="K3" s="20">
        <v>45818</v>
      </c>
      <c r="L3" s="20">
        <v>45819</v>
      </c>
      <c r="M3" s="20">
        <v>45820</v>
      </c>
      <c r="N3" s="20">
        <v>45821</v>
      </c>
      <c r="O3" s="20">
        <v>45822</v>
      </c>
      <c r="P3" s="20">
        <v>45823</v>
      </c>
      <c r="Q3" s="20">
        <v>45824</v>
      </c>
      <c r="R3" s="20">
        <v>45825</v>
      </c>
      <c r="S3" s="20">
        <v>45826</v>
      </c>
      <c r="T3" s="20">
        <v>45827</v>
      </c>
      <c r="U3" s="20">
        <v>45828</v>
      </c>
      <c r="V3" s="20">
        <v>45829</v>
      </c>
      <c r="W3" s="20">
        <v>45830</v>
      </c>
      <c r="X3" s="20">
        <v>45831</v>
      </c>
      <c r="Y3" s="20">
        <v>45832</v>
      </c>
      <c r="Z3" s="20">
        <v>45833</v>
      </c>
      <c r="AA3" s="20">
        <v>45834</v>
      </c>
      <c r="AB3" s="20">
        <v>45835</v>
      </c>
      <c r="AC3" s="20">
        <v>45836</v>
      </c>
      <c r="AD3" s="20">
        <v>45837</v>
      </c>
      <c r="AE3" s="20">
        <v>45838</v>
      </c>
      <c r="AF3" s="3"/>
      <c r="AH3" s="104" t="s">
        <v>9</v>
      </c>
      <c r="AI3" s="105" t="s">
        <v>10</v>
      </c>
      <c r="AJ3" s="105" t="s">
        <v>17</v>
      </c>
      <c r="AK3" s="106" t="s">
        <v>11</v>
      </c>
      <c r="AL3" s="106" t="s">
        <v>12</v>
      </c>
      <c r="AM3" s="107" t="s">
        <v>35</v>
      </c>
      <c r="AN3" s="107" t="s">
        <v>36</v>
      </c>
      <c r="AO3" s="181" t="s">
        <v>16</v>
      </c>
      <c r="AP3" s="162" t="s">
        <v>21</v>
      </c>
      <c r="AQ3" s="162" t="s">
        <v>22</v>
      </c>
      <c r="AR3" s="163" t="s">
        <v>16</v>
      </c>
      <c r="AS3" s="153"/>
      <c r="AT3" s="153"/>
      <c r="AU3" s="153"/>
    </row>
    <row r="4" spans="1:47" ht="24" customHeight="1" thickTop="1" thickBot="1" x14ac:dyDescent="0.4">
      <c r="A4" s="23" t="s">
        <v>0</v>
      </c>
      <c r="B4" s="24">
        <v>13</v>
      </c>
      <c r="C4" s="25">
        <v>8</v>
      </c>
      <c r="D4" s="26">
        <v>4</v>
      </c>
      <c r="E4" s="26">
        <v>13</v>
      </c>
      <c r="F4" s="26">
        <v>0</v>
      </c>
      <c r="G4" s="172">
        <v>0</v>
      </c>
      <c r="H4" s="26">
        <v>2</v>
      </c>
      <c r="I4" s="26">
        <v>0</v>
      </c>
      <c r="J4" s="172">
        <v>14</v>
      </c>
      <c r="K4" s="172">
        <v>24</v>
      </c>
      <c r="L4" s="26">
        <v>16</v>
      </c>
      <c r="M4" s="26">
        <v>23</v>
      </c>
      <c r="N4" s="26">
        <v>1</v>
      </c>
      <c r="O4" s="26">
        <v>67</v>
      </c>
      <c r="P4" s="26">
        <v>12</v>
      </c>
      <c r="Q4" s="26">
        <v>0</v>
      </c>
      <c r="R4" s="26">
        <v>4</v>
      </c>
      <c r="S4" s="26">
        <v>13</v>
      </c>
      <c r="T4" s="26">
        <v>13</v>
      </c>
      <c r="U4" s="26">
        <v>70</v>
      </c>
      <c r="V4" s="26">
        <v>15</v>
      </c>
      <c r="W4" s="26">
        <v>16</v>
      </c>
      <c r="X4" s="26">
        <v>37</v>
      </c>
      <c r="Y4" s="26">
        <v>43</v>
      </c>
      <c r="Z4" s="26">
        <v>25</v>
      </c>
      <c r="AA4" s="26">
        <v>0</v>
      </c>
      <c r="AB4" s="26">
        <v>21</v>
      </c>
      <c r="AC4" s="26">
        <v>33</v>
      </c>
      <c r="AD4" s="25">
        <v>23</v>
      </c>
      <c r="AE4" s="50">
        <v>37</v>
      </c>
      <c r="AG4" s="155" t="s">
        <v>0</v>
      </c>
      <c r="AH4" s="170">
        <f>SUM(B4:AE4)</f>
        <v>547</v>
      </c>
      <c r="AI4" s="157">
        <f>AVERAGE(B4:AE4)</f>
        <v>18.233333333333334</v>
      </c>
      <c r="AJ4" s="5">
        <v>18</v>
      </c>
      <c r="AK4" s="160">
        <f>AE4-AJ4</f>
        <v>19</v>
      </c>
      <c r="AL4" s="15">
        <f>AI4-AJ4</f>
        <v>0.23333333333333428</v>
      </c>
      <c r="AM4" s="158">
        <f>AH4</f>
        <v>547</v>
      </c>
      <c r="AN4" s="5">
        <v>552</v>
      </c>
      <c r="AO4" s="15">
        <f>AM4-AN4</f>
        <v>-5</v>
      </c>
      <c r="AP4" s="158">
        <f>AM4+'Mai 25'!AQ4</f>
        <v>3543.29</v>
      </c>
      <c r="AQ4" s="5">
        <f>AN4+'Mai 25'!AR4</f>
        <v>3561</v>
      </c>
      <c r="AR4" s="187">
        <f>AP4-AQ4</f>
        <v>-17.710000000000036</v>
      </c>
    </row>
    <row r="5" spans="1:47" ht="24" customHeight="1" thickBot="1" x14ac:dyDescent="0.4">
      <c r="A5" s="27" t="s">
        <v>1</v>
      </c>
      <c r="B5" s="17">
        <v>19</v>
      </c>
      <c r="C5" s="5">
        <v>4</v>
      </c>
      <c r="D5" s="6">
        <v>4</v>
      </c>
      <c r="E5" s="6">
        <v>2</v>
      </c>
      <c r="F5" s="6">
        <v>0</v>
      </c>
      <c r="G5" s="6">
        <v>0</v>
      </c>
      <c r="H5" s="6">
        <v>3</v>
      </c>
      <c r="I5" s="6">
        <v>9</v>
      </c>
      <c r="J5" s="6">
        <v>0</v>
      </c>
      <c r="K5" s="6">
        <v>7</v>
      </c>
      <c r="L5" s="6">
        <v>2</v>
      </c>
      <c r="M5" s="6">
        <v>45</v>
      </c>
      <c r="N5" s="6">
        <v>8</v>
      </c>
      <c r="O5" s="6">
        <v>10</v>
      </c>
      <c r="P5" s="6">
        <v>0</v>
      </c>
      <c r="Q5" s="6">
        <v>0</v>
      </c>
      <c r="R5" s="6">
        <v>0</v>
      </c>
      <c r="S5" s="6">
        <v>76</v>
      </c>
      <c r="T5" s="6">
        <v>76</v>
      </c>
      <c r="U5" s="6">
        <v>3</v>
      </c>
      <c r="V5" s="6">
        <v>15</v>
      </c>
      <c r="W5" s="6">
        <v>37</v>
      </c>
      <c r="X5" s="6">
        <v>6</v>
      </c>
      <c r="Y5" s="6">
        <v>9</v>
      </c>
      <c r="Z5" s="6">
        <v>4</v>
      </c>
      <c r="AA5" s="6">
        <v>5</v>
      </c>
      <c r="AB5" s="6">
        <v>62</v>
      </c>
      <c r="AC5" s="6">
        <v>11</v>
      </c>
      <c r="AD5" s="5">
        <v>4</v>
      </c>
      <c r="AE5" s="13">
        <v>2</v>
      </c>
      <c r="AG5" s="155" t="s">
        <v>1</v>
      </c>
      <c r="AH5" s="156">
        <f>SUM(B5:AE5)</f>
        <v>423</v>
      </c>
      <c r="AI5" s="157">
        <f>AVERAGE(B5:AE5)</f>
        <v>14.1</v>
      </c>
      <c r="AJ5" s="5">
        <v>18</v>
      </c>
      <c r="AK5" s="15">
        <f t="shared" ref="AK5:AK6" si="0">AE5-AJ5</f>
        <v>-16</v>
      </c>
      <c r="AL5" s="15">
        <f>AI5-AJ5</f>
        <v>-3.9000000000000004</v>
      </c>
      <c r="AM5" s="5">
        <f>AH5</f>
        <v>423</v>
      </c>
      <c r="AN5" s="5">
        <v>386</v>
      </c>
      <c r="AO5" s="182">
        <f t="shared" ref="AO5:AO6" si="1">AM5-AN5</f>
        <v>37</v>
      </c>
      <c r="AP5" s="158">
        <f>AM5+'Mai 25'!AQ5</f>
        <v>5431</v>
      </c>
      <c r="AQ5" s="5">
        <f>AN5+'Mai 25'!AR5</f>
        <v>3217</v>
      </c>
      <c r="AR5" s="169">
        <f t="shared" ref="AR5:AR10" si="2">AP5-AQ5</f>
        <v>2214</v>
      </c>
    </row>
    <row r="6" spans="1:47" ht="24" customHeight="1" thickBot="1" x14ac:dyDescent="0.4">
      <c r="A6" s="27" t="s">
        <v>2</v>
      </c>
      <c r="B6" s="17">
        <v>20</v>
      </c>
      <c r="C6" s="5">
        <v>1</v>
      </c>
      <c r="D6" s="6">
        <v>0</v>
      </c>
      <c r="E6" s="6">
        <v>3</v>
      </c>
      <c r="F6" s="6">
        <v>3</v>
      </c>
      <c r="G6" s="6">
        <v>7</v>
      </c>
      <c r="H6" s="6">
        <v>1</v>
      </c>
      <c r="I6" s="6">
        <v>10</v>
      </c>
      <c r="J6" s="6">
        <v>2</v>
      </c>
      <c r="K6" s="6">
        <v>15</v>
      </c>
      <c r="L6" s="6">
        <v>3</v>
      </c>
      <c r="M6" s="6">
        <v>2</v>
      </c>
      <c r="N6" s="6">
        <v>9</v>
      </c>
      <c r="O6" s="6">
        <v>3</v>
      </c>
      <c r="P6" s="6">
        <v>6</v>
      </c>
      <c r="Q6" s="6">
        <v>0</v>
      </c>
      <c r="R6" s="6">
        <v>9</v>
      </c>
      <c r="S6" s="6">
        <v>49</v>
      </c>
      <c r="T6" s="6">
        <v>49</v>
      </c>
      <c r="U6" s="6">
        <v>0</v>
      </c>
      <c r="V6" s="6">
        <v>6</v>
      </c>
      <c r="W6" s="6">
        <v>7</v>
      </c>
      <c r="X6" s="6">
        <v>12</v>
      </c>
      <c r="Y6" s="6">
        <v>32</v>
      </c>
      <c r="Z6" s="6">
        <v>11</v>
      </c>
      <c r="AA6" s="6">
        <v>2</v>
      </c>
      <c r="AB6" s="6">
        <v>21</v>
      </c>
      <c r="AC6" s="6">
        <v>19</v>
      </c>
      <c r="AD6" s="5">
        <v>38</v>
      </c>
      <c r="AE6" s="13">
        <v>19</v>
      </c>
      <c r="AG6" s="155" t="s">
        <v>2</v>
      </c>
      <c r="AH6" s="170">
        <f>SUM(B6:AE6)</f>
        <v>359</v>
      </c>
      <c r="AI6" s="157">
        <f>AVERAGE(B6:AE6)</f>
        <v>11.966666666666667</v>
      </c>
      <c r="AJ6" s="5">
        <v>18</v>
      </c>
      <c r="AK6" s="160">
        <f t="shared" si="0"/>
        <v>1</v>
      </c>
      <c r="AL6" s="15">
        <f t="shared" ref="AL6:AL10" si="3">AI6-AJ6</f>
        <v>-6.0333333333333332</v>
      </c>
      <c r="AM6" s="158">
        <f>AH6</f>
        <v>359</v>
      </c>
      <c r="AN6" s="5">
        <v>264</v>
      </c>
      <c r="AO6" s="160">
        <f t="shared" si="1"/>
        <v>95</v>
      </c>
      <c r="AP6" s="158">
        <f>AM6+'Mai 25'!AQ6</f>
        <v>4411.37</v>
      </c>
      <c r="AQ6" s="5">
        <f>AN6+'Mai 25'!AR6</f>
        <v>1933</v>
      </c>
      <c r="AR6" s="169">
        <f t="shared" si="2"/>
        <v>2478.37</v>
      </c>
    </row>
    <row r="7" spans="1:47" ht="29" customHeight="1" thickBot="1" x14ac:dyDescent="0.4">
      <c r="A7" s="28" t="s">
        <v>13</v>
      </c>
      <c r="B7" s="29">
        <f>AVERAGE(B4:B6)</f>
        <v>17.333333333333332</v>
      </c>
      <c r="C7" s="29">
        <f t="shared" ref="C7:AE7" si="4">AVERAGE(C4:C6)</f>
        <v>4.333333333333333</v>
      </c>
      <c r="D7" s="29">
        <f t="shared" si="4"/>
        <v>2.6666666666666665</v>
      </c>
      <c r="E7" s="29">
        <f t="shared" si="4"/>
        <v>6</v>
      </c>
      <c r="F7" s="29">
        <f t="shared" si="4"/>
        <v>1</v>
      </c>
      <c r="G7" s="29">
        <f t="shared" si="4"/>
        <v>2.3333333333333335</v>
      </c>
      <c r="H7" s="29">
        <f t="shared" si="4"/>
        <v>2</v>
      </c>
      <c r="I7" s="29">
        <f t="shared" si="4"/>
        <v>6.333333333333333</v>
      </c>
      <c r="J7" s="29">
        <f t="shared" si="4"/>
        <v>5.333333333333333</v>
      </c>
      <c r="K7" s="29">
        <f t="shared" si="4"/>
        <v>15.333333333333334</v>
      </c>
      <c r="L7" s="29">
        <f t="shared" si="4"/>
        <v>7</v>
      </c>
      <c r="M7" s="29">
        <f t="shared" si="4"/>
        <v>23.333333333333332</v>
      </c>
      <c r="N7" s="29">
        <f t="shared" si="4"/>
        <v>6</v>
      </c>
      <c r="O7" s="29">
        <f t="shared" si="4"/>
        <v>26.666666666666668</v>
      </c>
      <c r="P7" s="29">
        <f t="shared" si="4"/>
        <v>6</v>
      </c>
      <c r="Q7" s="29">
        <f t="shared" si="4"/>
        <v>0</v>
      </c>
      <c r="R7" s="29">
        <f t="shared" si="4"/>
        <v>4.333333333333333</v>
      </c>
      <c r="S7" s="29">
        <f t="shared" si="4"/>
        <v>46</v>
      </c>
      <c r="T7" s="29">
        <f t="shared" si="4"/>
        <v>46</v>
      </c>
      <c r="U7" s="29">
        <f t="shared" si="4"/>
        <v>24.333333333333332</v>
      </c>
      <c r="V7" s="29">
        <f t="shared" si="4"/>
        <v>12</v>
      </c>
      <c r="W7" s="29">
        <f t="shared" si="4"/>
        <v>20</v>
      </c>
      <c r="X7" s="29">
        <f t="shared" si="4"/>
        <v>18.333333333333332</v>
      </c>
      <c r="Y7" s="29">
        <f t="shared" si="4"/>
        <v>28</v>
      </c>
      <c r="Z7" s="29">
        <f t="shared" si="4"/>
        <v>13.333333333333334</v>
      </c>
      <c r="AA7" s="29">
        <f t="shared" si="4"/>
        <v>2.3333333333333335</v>
      </c>
      <c r="AB7" s="29">
        <f t="shared" si="4"/>
        <v>34.666666666666664</v>
      </c>
      <c r="AC7" s="29">
        <f t="shared" si="4"/>
        <v>21</v>
      </c>
      <c r="AD7" s="29">
        <f t="shared" si="4"/>
        <v>21.666666666666668</v>
      </c>
      <c r="AE7" s="29">
        <f t="shared" si="4"/>
        <v>19.333333333333332</v>
      </c>
      <c r="AG7" s="155" t="s">
        <v>6</v>
      </c>
      <c r="AH7" s="120">
        <f>AVERAGE(AH4:AH6)</f>
        <v>443</v>
      </c>
      <c r="AI7" s="121">
        <f>AVERAGE(AI4:AI6)</f>
        <v>14.766666666666667</v>
      </c>
      <c r="AJ7" s="122">
        <v>18</v>
      </c>
      <c r="AK7" s="188">
        <f>AE7-AJ7</f>
        <v>1.3333333333333321</v>
      </c>
      <c r="AL7" s="147">
        <f t="shared" si="3"/>
        <v>-3.2333333333333325</v>
      </c>
      <c r="AM7" s="132">
        <f>SUM(AM4:AM6)</f>
        <v>1329</v>
      </c>
      <c r="AN7" s="132">
        <f>SUM(AN4:AN6)</f>
        <v>1202</v>
      </c>
      <c r="AO7" s="141">
        <f>AM7-AN7</f>
        <v>127</v>
      </c>
      <c r="AP7" s="185">
        <f>AM7+'Mai 25'!AQ7</f>
        <v>13385.66</v>
      </c>
      <c r="AQ7" s="185">
        <f>AN7+'Mai 25'!AR7</f>
        <v>8711</v>
      </c>
      <c r="AR7" s="138">
        <f t="shared" si="2"/>
        <v>4674.66</v>
      </c>
    </row>
    <row r="8" spans="1:47" ht="24" customHeight="1" thickTop="1" thickBot="1" x14ac:dyDescent="0.4">
      <c r="A8" s="33" t="s">
        <v>3</v>
      </c>
      <c r="B8" s="95">
        <v>0</v>
      </c>
      <c r="C8" s="26">
        <v>4</v>
      </c>
      <c r="D8" s="26">
        <v>0</v>
      </c>
      <c r="E8" s="26">
        <v>8</v>
      </c>
      <c r="F8" s="26">
        <v>4</v>
      </c>
      <c r="G8" s="172">
        <v>8</v>
      </c>
      <c r="H8" s="26">
        <v>0</v>
      </c>
      <c r="I8" s="26">
        <v>0</v>
      </c>
      <c r="J8" s="172">
        <v>0</v>
      </c>
      <c r="K8" s="26">
        <v>40</v>
      </c>
      <c r="L8" s="26">
        <v>0</v>
      </c>
      <c r="M8" s="26">
        <v>15</v>
      </c>
      <c r="N8" s="26">
        <v>4</v>
      </c>
      <c r="O8" s="26">
        <v>0</v>
      </c>
      <c r="P8" s="26">
        <v>2</v>
      </c>
      <c r="Q8" s="26">
        <v>0</v>
      </c>
      <c r="R8" s="26">
        <v>0</v>
      </c>
      <c r="S8" s="26">
        <v>18</v>
      </c>
      <c r="T8" s="26">
        <v>18</v>
      </c>
      <c r="U8" s="26">
        <v>15</v>
      </c>
      <c r="V8" s="26">
        <v>3</v>
      </c>
      <c r="W8" s="26">
        <v>0</v>
      </c>
      <c r="X8" s="26">
        <v>0</v>
      </c>
      <c r="Y8" s="26">
        <v>5</v>
      </c>
      <c r="Z8" s="26">
        <v>4</v>
      </c>
      <c r="AA8" s="26">
        <v>0</v>
      </c>
      <c r="AB8" s="26">
        <v>0</v>
      </c>
      <c r="AC8" s="26">
        <v>25</v>
      </c>
      <c r="AD8" s="25">
        <v>8</v>
      </c>
      <c r="AE8" s="50">
        <v>49</v>
      </c>
      <c r="AG8" s="161" t="s">
        <v>3</v>
      </c>
      <c r="AH8" s="170">
        <f>SUM(B8:AE8)</f>
        <v>230</v>
      </c>
      <c r="AI8" s="157">
        <f>AVERAGE(B8:AE8)</f>
        <v>7.666666666666667</v>
      </c>
      <c r="AJ8" s="5">
        <v>18</v>
      </c>
      <c r="AK8" s="160">
        <f>AE8-AJ8</f>
        <v>31</v>
      </c>
      <c r="AL8" s="15">
        <f t="shared" si="3"/>
        <v>-10.333333333333332</v>
      </c>
      <c r="AM8" s="158">
        <f>AH8</f>
        <v>230</v>
      </c>
      <c r="AN8" s="5">
        <v>333</v>
      </c>
      <c r="AO8" s="15">
        <f>AM8-AN8</f>
        <v>-103</v>
      </c>
      <c r="AP8" s="158">
        <f>AM8+'Mai 25'!AQ8</f>
        <v>2448.6999999999998</v>
      </c>
      <c r="AQ8" s="5">
        <f>AN8+'Mai 25'!AR8</f>
        <v>1438</v>
      </c>
      <c r="AR8" s="169">
        <f t="shared" si="2"/>
        <v>1010.6999999999998</v>
      </c>
    </row>
    <row r="9" spans="1:47" ht="24" customHeight="1" thickBot="1" x14ac:dyDescent="0.4">
      <c r="A9" s="36" t="s">
        <v>4</v>
      </c>
      <c r="B9" s="96">
        <v>10</v>
      </c>
      <c r="C9" s="6">
        <v>36</v>
      </c>
      <c r="D9" s="6">
        <v>0</v>
      </c>
      <c r="E9" s="6">
        <v>0</v>
      </c>
      <c r="F9" s="6">
        <v>0</v>
      </c>
      <c r="G9" s="6">
        <v>44</v>
      </c>
      <c r="H9" s="6">
        <v>0</v>
      </c>
      <c r="I9" s="6">
        <v>20</v>
      </c>
      <c r="J9" s="6">
        <v>0</v>
      </c>
      <c r="K9" s="6">
        <v>0</v>
      </c>
      <c r="L9" s="6">
        <v>9</v>
      </c>
      <c r="M9" s="6">
        <v>3</v>
      </c>
      <c r="N9" s="6">
        <v>8</v>
      </c>
      <c r="O9" s="6">
        <v>0</v>
      </c>
      <c r="P9" s="6">
        <v>0</v>
      </c>
      <c r="Q9" s="6">
        <v>0</v>
      </c>
      <c r="R9" s="6">
        <v>0</v>
      </c>
      <c r="S9" s="6">
        <v>3</v>
      </c>
      <c r="T9" s="6">
        <v>3</v>
      </c>
      <c r="U9" s="6">
        <v>20</v>
      </c>
      <c r="V9" s="6">
        <v>0</v>
      </c>
      <c r="W9" s="6">
        <v>63</v>
      </c>
      <c r="X9" s="6">
        <v>46</v>
      </c>
      <c r="Y9" s="6">
        <v>5</v>
      </c>
      <c r="Z9" s="6">
        <v>13</v>
      </c>
      <c r="AA9" s="6">
        <v>16</v>
      </c>
      <c r="AB9" s="6">
        <v>34</v>
      </c>
      <c r="AC9" s="6">
        <v>5</v>
      </c>
      <c r="AD9" s="5">
        <v>46</v>
      </c>
      <c r="AE9" s="13">
        <v>21</v>
      </c>
      <c r="AG9" s="161" t="s">
        <v>4</v>
      </c>
      <c r="AH9" s="156">
        <f>SUM(B9:AE9)</f>
        <v>405</v>
      </c>
      <c r="AI9" s="157">
        <f>AVERAGE(B9:AE9)</f>
        <v>13.5</v>
      </c>
      <c r="AJ9" s="5">
        <v>18</v>
      </c>
      <c r="AK9" s="160">
        <f t="shared" ref="AK9:AK10" si="5">AE9-AJ9</f>
        <v>3</v>
      </c>
      <c r="AL9" s="15">
        <f t="shared" si="3"/>
        <v>-4.5</v>
      </c>
      <c r="AM9" s="5">
        <f>AH9</f>
        <v>405</v>
      </c>
      <c r="AN9" s="5">
        <v>355</v>
      </c>
      <c r="AO9" s="182">
        <f>AM9-AN9</f>
        <v>50</v>
      </c>
      <c r="AP9" s="158">
        <f>AM9+'Mai 25'!AQ9</f>
        <v>3341</v>
      </c>
      <c r="AQ9" s="5">
        <v>3082</v>
      </c>
      <c r="AR9" s="169">
        <f t="shared" si="2"/>
        <v>259</v>
      </c>
    </row>
    <row r="10" spans="1:47" ht="24" customHeight="1" thickBot="1" x14ac:dyDescent="0.4">
      <c r="A10" s="36" t="s">
        <v>5</v>
      </c>
      <c r="B10" s="97">
        <v>0</v>
      </c>
      <c r="C10" s="6">
        <v>5</v>
      </c>
      <c r="D10" s="6">
        <v>0</v>
      </c>
      <c r="E10" s="6">
        <v>0</v>
      </c>
      <c r="F10" s="6">
        <v>9</v>
      </c>
      <c r="G10" s="6">
        <v>36</v>
      </c>
      <c r="H10" s="6">
        <v>11</v>
      </c>
      <c r="I10" s="6">
        <v>26</v>
      </c>
      <c r="J10" s="6">
        <v>0</v>
      </c>
      <c r="K10" s="6">
        <v>2</v>
      </c>
      <c r="L10" s="6">
        <v>0</v>
      </c>
      <c r="M10" s="6">
        <v>0</v>
      </c>
      <c r="N10" s="6">
        <v>0</v>
      </c>
      <c r="O10" s="6">
        <v>4</v>
      </c>
      <c r="P10" s="6">
        <v>4</v>
      </c>
      <c r="Q10" s="6">
        <v>0</v>
      </c>
      <c r="R10" s="6">
        <v>0</v>
      </c>
      <c r="S10" s="6">
        <v>41</v>
      </c>
      <c r="T10" s="6">
        <v>41</v>
      </c>
      <c r="U10" s="6">
        <v>2</v>
      </c>
      <c r="V10" s="6">
        <v>72</v>
      </c>
      <c r="W10" s="6">
        <v>6</v>
      </c>
      <c r="X10" s="6">
        <v>11</v>
      </c>
      <c r="Y10" s="6">
        <v>4</v>
      </c>
      <c r="Z10" s="6">
        <v>0</v>
      </c>
      <c r="AA10" s="6">
        <v>5</v>
      </c>
      <c r="AB10" s="6">
        <v>2</v>
      </c>
      <c r="AC10" s="6">
        <v>20</v>
      </c>
      <c r="AD10" s="5">
        <v>4</v>
      </c>
      <c r="AE10" s="13">
        <v>125</v>
      </c>
      <c r="AG10" s="161" t="s">
        <v>5</v>
      </c>
      <c r="AH10" s="156">
        <f>SUM(B10:AE10)</f>
        <v>430</v>
      </c>
      <c r="AI10" s="157">
        <f>AVERAGE(B10:AE10)</f>
        <v>14.333333333333334</v>
      </c>
      <c r="AJ10" s="5">
        <v>18</v>
      </c>
      <c r="AK10" s="160">
        <f t="shared" si="5"/>
        <v>107</v>
      </c>
      <c r="AL10" s="15">
        <f t="shared" si="3"/>
        <v>-3.6666666666666661</v>
      </c>
      <c r="AM10" s="5">
        <f>AH10</f>
        <v>430</v>
      </c>
      <c r="AN10" s="5">
        <v>313</v>
      </c>
      <c r="AO10" s="182">
        <f t="shared" ref="AO10" si="6">AM10-AN10</f>
        <v>117</v>
      </c>
      <c r="AP10" s="158">
        <f>AM10+'Mai 25'!AQ10</f>
        <v>2619</v>
      </c>
      <c r="AQ10" s="5">
        <f>AN10+'Mai 25'!AR10</f>
        <v>1740</v>
      </c>
      <c r="AR10" s="169">
        <f t="shared" si="2"/>
        <v>879</v>
      </c>
    </row>
    <row r="11" spans="1:47" ht="24" customHeight="1" thickBot="1" x14ac:dyDescent="0.4">
      <c r="A11" s="37" t="s">
        <v>7</v>
      </c>
      <c r="B11" s="128">
        <f>AVERAGE(B8:B10)</f>
        <v>3.3333333333333335</v>
      </c>
      <c r="C11" s="38">
        <f t="shared" ref="C11:AE11" si="7">AVERAGE(C8:C10)</f>
        <v>15</v>
      </c>
      <c r="D11" s="38">
        <f t="shared" si="7"/>
        <v>0</v>
      </c>
      <c r="E11" s="128">
        <f t="shared" si="7"/>
        <v>2.6666666666666665</v>
      </c>
      <c r="F11" s="128">
        <f t="shared" si="7"/>
        <v>4.333333333333333</v>
      </c>
      <c r="G11" s="128">
        <f t="shared" si="7"/>
        <v>29.333333333333332</v>
      </c>
      <c r="H11" s="128">
        <f t="shared" si="7"/>
        <v>3.6666666666666665</v>
      </c>
      <c r="I11" s="128">
        <f t="shared" si="7"/>
        <v>15.333333333333334</v>
      </c>
      <c r="J11" s="128">
        <f t="shared" si="7"/>
        <v>0</v>
      </c>
      <c r="K11" s="128">
        <f t="shared" si="7"/>
        <v>14</v>
      </c>
      <c r="L11" s="128">
        <f t="shared" si="7"/>
        <v>3</v>
      </c>
      <c r="M11" s="128">
        <f t="shared" si="7"/>
        <v>6</v>
      </c>
      <c r="N11" s="128">
        <f t="shared" si="7"/>
        <v>4</v>
      </c>
      <c r="O11" s="128">
        <f t="shared" si="7"/>
        <v>1.3333333333333333</v>
      </c>
      <c r="P11" s="128">
        <f t="shared" si="7"/>
        <v>2</v>
      </c>
      <c r="Q11" s="128">
        <f t="shared" si="7"/>
        <v>0</v>
      </c>
      <c r="R11" s="128">
        <f t="shared" si="7"/>
        <v>0</v>
      </c>
      <c r="S11" s="128">
        <f t="shared" si="7"/>
        <v>20.666666666666668</v>
      </c>
      <c r="T11" s="128">
        <f t="shared" si="7"/>
        <v>20.666666666666668</v>
      </c>
      <c r="U11" s="128">
        <f t="shared" si="7"/>
        <v>12.333333333333334</v>
      </c>
      <c r="V11" s="128">
        <f t="shared" si="7"/>
        <v>25</v>
      </c>
      <c r="W11" s="128">
        <f t="shared" si="7"/>
        <v>23</v>
      </c>
      <c r="X11" s="128">
        <f t="shared" si="7"/>
        <v>19</v>
      </c>
      <c r="Y11" s="128">
        <f t="shared" si="7"/>
        <v>4.666666666666667</v>
      </c>
      <c r="Z11" s="128">
        <f t="shared" si="7"/>
        <v>5.666666666666667</v>
      </c>
      <c r="AA11" s="128">
        <f t="shared" si="7"/>
        <v>7</v>
      </c>
      <c r="AB11" s="128">
        <f t="shared" si="7"/>
        <v>12</v>
      </c>
      <c r="AC11" s="128">
        <f t="shared" si="7"/>
        <v>16.666666666666668</v>
      </c>
      <c r="AD11" s="128">
        <f t="shared" si="7"/>
        <v>19.333333333333332</v>
      </c>
      <c r="AE11" s="128">
        <f t="shared" si="7"/>
        <v>65</v>
      </c>
      <c r="AG11" s="161" t="s">
        <v>7</v>
      </c>
      <c r="AH11" s="123">
        <f>AVERAGE(AH8:AH10)</f>
        <v>355</v>
      </c>
      <c r="AI11" s="124">
        <f>AVERAGE(AI8:AI10)</f>
        <v>11.833333333333334</v>
      </c>
      <c r="AJ11" s="125">
        <v>18</v>
      </c>
      <c r="AK11" s="190">
        <f>AE11-AJ11</f>
        <v>47</v>
      </c>
      <c r="AL11" s="126">
        <f>AI11-AJ11</f>
        <v>-6.1666666666666661</v>
      </c>
      <c r="AM11" s="136">
        <f>SUM(AM8:AM10)</f>
        <v>1065</v>
      </c>
      <c r="AN11" s="136">
        <f>SUM(AN8:AN10)</f>
        <v>1001</v>
      </c>
      <c r="AO11" s="174">
        <f>AM11-AN11</f>
        <v>64</v>
      </c>
      <c r="AP11" s="186">
        <f>AM11+'Mai 25'!AQ11</f>
        <v>8408.7000000000007</v>
      </c>
      <c r="AQ11" s="186">
        <f>AN11+'Mai 25'!AR11</f>
        <v>6254</v>
      </c>
      <c r="AR11" s="146">
        <f>AP11-AQ11</f>
        <v>2154.7000000000007</v>
      </c>
    </row>
    <row r="12" spans="1:47" ht="9.5" customHeight="1" thickTop="1" thickBot="1" x14ac:dyDescent="0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I12" s="4"/>
      <c r="AJ12" s="7"/>
      <c r="AK12" s="15"/>
      <c r="AL12" s="8"/>
      <c r="AM12" s="10"/>
      <c r="AO12" s="191"/>
      <c r="AP12" s="158"/>
      <c r="AQ12" s="5"/>
    </row>
    <row r="13" spans="1:47" ht="59" customHeight="1" thickTop="1" thickBot="1" x14ac:dyDescent="0.4">
      <c r="A13" s="42" t="s">
        <v>8</v>
      </c>
      <c r="B13" s="43">
        <f>AVERAGE(B11,B7)</f>
        <v>10.333333333333332</v>
      </c>
      <c r="C13" s="43">
        <f t="shared" ref="C13:AE13" si="8">AVERAGE(C11,C7)</f>
        <v>9.6666666666666661</v>
      </c>
      <c r="D13" s="43">
        <f t="shared" si="8"/>
        <v>1.3333333333333333</v>
      </c>
      <c r="E13" s="43">
        <f t="shared" si="8"/>
        <v>4.333333333333333</v>
      </c>
      <c r="F13" s="43">
        <f t="shared" si="8"/>
        <v>2.6666666666666665</v>
      </c>
      <c r="G13" s="43">
        <f t="shared" si="8"/>
        <v>15.833333333333332</v>
      </c>
      <c r="H13" s="43">
        <f t="shared" si="8"/>
        <v>2.833333333333333</v>
      </c>
      <c r="I13" s="43">
        <f t="shared" si="8"/>
        <v>10.833333333333334</v>
      </c>
      <c r="J13" s="43">
        <f t="shared" si="8"/>
        <v>2.6666666666666665</v>
      </c>
      <c r="K13" s="43">
        <f t="shared" si="8"/>
        <v>14.666666666666668</v>
      </c>
      <c r="L13" s="43">
        <f t="shared" si="8"/>
        <v>5</v>
      </c>
      <c r="M13" s="43">
        <f t="shared" si="8"/>
        <v>14.666666666666666</v>
      </c>
      <c r="N13" s="43">
        <f t="shared" si="8"/>
        <v>5</v>
      </c>
      <c r="O13" s="43">
        <f t="shared" si="8"/>
        <v>14</v>
      </c>
      <c r="P13" s="43">
        <f t="shared" si="8"/>
        <v>4</v>
      </c>
      <c r="Q13" s="43">
        <f t="shared" si="8"/>
        <v>0</v>
      </c>
      <c r="R13" s="43">
        <f t="shared" si="8"/>
        <v>2.1666666666666665</v>
      </c>
      <c r="S13" s="43">
        <f t="shared" si="8"/>
        <v>33.333333333333336</v>
      </c>
      <c r="T13" s="43">
        <f t="shared" si="8"/>
        <v>33.333333333333336</v>
      </c>
      <c r="U13" s="43">
        <f t="shared" si="8"/>
        <v>18.333333333333332</v>
      </c>
      <c r="V13" s="43">
        <f t="shared" si="8"/>
        <v>18.5</v>
      </c>
      <c r="W13" s="43">
        <f t="shared" si="8"/>
        <v>21.5</v>
      </c>
      <c r="X13" s="43">
        <f t="shared" si="8"/>
        <v>18.666666666666664</v>
      </c>
      <c r="Y13" s="43">
        <f t="shared" si="8"/>
        <v>16.333333333333332</v>
      </c>
      <c r="Z13" s="43">
        <f t="shared" si="8"/>
        <v>9.5</v>
      </c>
      <c r="AA13" s="43">
        <f t="shared" si="8"/>
        <v>4.666666666666667</v>
      </c>
      <c r="AB13" s="43">
        <f t="shared" si="8"/>
        <v>23.333333333333332</v>
      </c>
      <c r="AC13" s="43">
        <f t="shared" si="8"/>
        <v>18.833333333333336</v>
      </c>
      <c r="AD13" s="43">
        <f t="shared" si="8"/>
        <v>20.5</v>
      </c>
      <c r="AE13" s="43">
        <f t="shared" si="8"/>
        <v>42.166666666666664</v>
      </c>
      <c r="AG13" s="85" t="s">
        <v>8</v>
      </c>
      <c r="AH13" s="86">
        <f>AVERAGE(AH11,AH7)</f>
        <v>399</v>
      </c>
      <c r="AI13" s="86">
        <f>AVERAGE(AI11,AI7)</f>
        <v>13.3</v>
      </c>
      <c r="AJ13" s="87">
        <v>18</v>
      </c>
      <c r="AK13" s="189">
        <f>AE13-AJ13</f>
        <v>24.166666666666664</v>
      </c>
      <c r="AL13" s="88">
        <f>AI13-AJ13</f>
        <v>-4.6999999999999993</v>
      </c>
      <c r="AM13" s="87">
        <f>SUM(AM7,AM11)</f>
        <v>2394</v>
      </c>
      <c r="AN13" s="87">
        <f>SUM(AN7,AN11)</f>
        <v>2203</v>
      </c>
      <c r="AO13" s="152">
        <f>AM13-AN13</f>
        <v>191</v>
      </c>
      <c r="AP13" s="154">
        <f>AM13+'Mai 25'!AQ13</f>
        <v>21794.36</v>
      </c>
      <c r="AQ13" s="154">
        <f>AN13+'Mai 25'!AR13</f>
        <v>14965</v>
      </c>
      <c r="AR13" s="152">
        <f>AP13-AQ13</f>
        <v>6829.3600000000006</v>
      </c>
    </row>
    <row r="14" spans="1:47" ht="15" thickTop="1" x14ac:dyDescent="0.35"/>
    <row r="15" spans="1:47" ht="21" x14ac:dyDescent="0.5">
      <c r="A15" s="176"/>
      <c r="B15" s="176"/>
      <c r="C15" s="176"/>
      <c r="D15" s="176"/>
      <c r="E15" s="176"/>
      <c r="F15" s="176"/>
      <c r="G15" s="176"/>
      <c r="H15" s="176"/>
    </row>
    <row r="16" spans="1:47" ht="23.5" x14ac:dyDescent="0.35">
      <c r="A16" s="177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</row>
    <row r="17" spans="1:21" ht="23.5" x14ac:dyDescent="0.35">
      <c r="A17" s="177"/>
      <c r="B17" s="177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</row>
    <row r="18" spans="1:21" ht="23.5" x14ac:dyDescent="0.35">
      <c r="A18" s="177"/>
      <c r="B18" s="177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</row>
  </sheetData>
  <mergeCells count="1">
    <mergeCell ref="A1:AR1"/>
  </mergeCells>
  <printOptions horizontalCentered="1" verticalCentered="1"/>
  <pageMargins left="0" right="0" top="0" bottom="0" header="0" footer="0"/>
  <pageSetup paperSize="9" scale="9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8"/>
  <sheetViews>
    <sheetView topLeftCell="Q1" zoomScale="90" zoomScaleNormal="90" workbookViewId="0">
      <selection activeCell="AI4" sqref="AI4:AI11"/>
    </sheetView>
  </sheetViews>
  <sheetFormatPr baseColWidth="10" defaultRowHeight="14.5" x14ac:dyDescent="0.35"/>
  <cols>
    <col min="1" max="1" width="8.7265625" customWidth="1"/>
    <col min="2" max="32" width="3.90625" customWidth="1"/>
    <col min="33" max="33" width="2.26953125" customWidth="1"/>
    <col min="34" max="34" width="6.1796875" customWidth="1"/>
    <col min="35" max="42" width="9.1796875" customWidth="1"/>
  </cols>
  <sheetData>
    <row r="1" spans="1:48" ht="23.5" x14ac:dyDescent="0.35">
      <c r="A1" s="201" t="s">
        <v>33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202"/>
      <c r="AL1" s="202"/>
      <c r="AM1" s="202"/>
      <c r="AN1" s="202"/>
      <c r="AO1" s="202"/>
      <c r="AP1" s="202"/>
      <c r="AQ1" s="202"/>
      <c r="AR1" s="202"/>
      <c r="AS1" s="202"/>
    </row>
    <row r="2" spans="1:48" ht="9.5" customHeight="1" thickBot="1" x14ac:dyDescent="0.4"/>
    <row r="3" spans="1:48" ht="69.5" customHeight="1" thickTop="1" thickBot="1" x14ac:dyDescent="0.4">
      <c r="A3" s="1"/>
      <c r="B3" s="20">
        <v>45778</v>
      </c>
      <c r="C3" s="20">
        <v>45779</v>
      </c>
      <c r="D3" s="20">
        <v>45780</v>
      </c>
      <c r="E3" s="20">
        <v>45781</v>
      </c>
      <c r="F3" s="20">
        <v>45782</v>
      </c>
      <c r="G3" s="20">
        <v>45783</v>
      </c>
      <c r="H3" s="20">
        <v>45784</v>
      </c>
      <c r="I3" s="20">
        <v>45785</v>
      </c>
      <c r="J3" s="20">
        <v>45786</v>
      </c>
      <c r="K3" s="20">
        <v>45787</v>
      </c>
      <c r="L3" s="20">
        <v>45788</v>
      </c>
      <c r="M3" s="20">
        <v>45789</v>
      </c>
      <c r="N3" s="20">
        <v>45790</v>
      </c>
      <c r="O3" s="20">
        <v>45791</v>
      </c>
      <c r="P3" s="20">
        <v>45792</v>
      </c>
      <c r="Q3" s="20">
        <v>45793</v>
      </c>
      <c r="R3" s="20">
        <v>45794</v>
      </c>
      <c r="S3" s="20">
        <v>45795</v>
      </c>
      <c r="T3" s="20">
        <v>45796</v>
      </c>
      <c r="U3" s="20">
        <v>45797</v>
      </c>
      <c r="V3" s="20">
        <v>45798</v>
      </c>
      <c r="W3" s="20">
        <v>45799</v>
      </c>
      <c r="X3" s="20">
        <v>45800</v>
      </c>
      <c r="Y3" s="20">
        <v>45801</v>
      </c>
      <c r="Z3" s="20">
        <v>45802</v>
      </c>
      <c r="AA3" s="20">
        <v>45803</v>
      </c>
      <c r="AB3" s="20">
        <v>45804</v>
      </c>
      <c r="AC3" s="20">
        <v>45805</v>
      </c>
      <c r="AD3" s="20">
        <v>45806</v>
      </c>
      <c r="AE3" s="20">
        <v>45807</v>
      </c>
      <c r="AF3" s="20">
        <v>45808</v>
      </c>
      <c r="AG3" s="3"/>
      <c r="AI3" s="104" t="s">
        <v>9</v>
      </c>
      <c r="AJ3" s="105" t="s">
        <v>10</v>
      </c>
      <c r="AK3" s="105" t="s">
        <v>17</v>
      </c>
      <c r="AL3" s="106" t="s">
        <v>11</v>
      </c>
      <c r="AM3" s="106" t="s">
        <v>12</v>
      </c>
      <c r="AN3" s="107" t="s">
        <v>31</v>
      </c>
      <c r="AO3" s="107" t="s">
        <v>32</v>
      </c>
      <c r="AP3" s="181" t="s">
        <v>16</v>
      </c>
      <c r="AQ3" s="162" t="s">
        <v>21</v>
      </c>
      <c r="AR3" s="162" t="s">
        <v>22</v>
      </c>
      <c r="AS3" s="163" t="s">
        <v>16</v>
      </c>
      <c r="AT3" s="153"/>
      <c r="AU3" s="153"/>
      <c r="AV3" s="153"/>
    </row>
    <row r="4" spans="1:48" ht="24" customHeight="1" thickTop="1" thickBot="1" x14ac:dyDescent="0.4">
      <c r="A4" s="23" t="s">
        <v>0</v>
      </c>
      <c r="B4" s="24">
        <v>4</v>
      </c>
      <c r="C4" s="25">
        <v>0</v>
      </c>
      <c r="D4" s="26">
        <v>9</v>
      </c>
      <c r="E4" s="26">
        <v>14</v>
      </c>
      <c r="F4" s="26">
        <v>11</v>
      </c>
      <c r="G4" s="172">
        <v>9</v>
      </c>
      <c r="H4" s="26">
        <v>4</v>
      </c>
      <c r="I4" s="26">
        <v>12</v>
      </c>
      <c r="J4" s="172">
        <v>22.5</v>
      </c>
      <c r="K4" s="172">
        <v>114</v>
      </c>
      <c r="L4" s="26">
        <v>29</v>
      </c>
      <c r="M4" s="26">
        <v>23</v>
      </c>
      <c r="N4" s="26">
        <v>39</v>
      </c>
      <c r="O4" s="26">
        <v>2</v>
      </c>
      <c r="P4" s="26">
        <v>0</v>
      </c>
      <c r="Q4" s="26">
        <v>8</v>
      </c>
      <c r="R4" s="26">
        <v>4</v>
      </c>
      <c r="S4" s="26">
        <v>0</v>
      </c>
      <c r="T4" s="26">
        <v>0</v>
      </c>
      <c r="U4" s="26">
        <v>32</v>
      </c>
      <c r="V4" s="26">
        <v>9</v>
      </c>
      <c r="W4" s="26">
        <v>13</v>
      </c>
      <c r="X4" s="26">
        <v>8</v>
      </c>
      <c r="Y4" s="26">
        <v>5</v>
      </c>
      <c r="Z4" s="26">
        <v>24</v>
      </c>
      <c r="AA4" s="26">
        <v>24</v>
      </c>
      <c r="AB4" s="26">
        <v>0</v>
      </c>
      <c r="AC4" s="26">
        <v>4</v>
      </c>
      <c r="AD4" s="25">
        <v>6</v>
      </c>
      <c r="AE4" s="50">
        <v>0</v>
      </c>
      <c r="AF4" s="50">
        <v>0</v>
      </c>
      <c r="AH4" s="155" t="s">
        <v>0</v>
      </c>
      <c r="AI4" s="170">
        <f>SUM(B4:AF4)</f>
        <v>429.5</v>
      </c>
      <c r="AJ4" s="157">
        <f>AVERAGE(B4:AF4)</f>
        <v>13.85483870967742</v>
      </c>
      <c r="AK4" s="5">
        <v>18</v>
      </c>
      <c r="AL4" s="15">
        <f>AF4-AK4</f>
        <v>-18</v>
      </c>
      <c r="AM4" s="15">
        <f>AJ4-AK4</f>
        <v>-4.1451612903225801</v>
      </c>
      <c r="AN4" s="158">
        <f>AI4</f>
        <v>429.5</v>
      </c>
      <c r="AO4" s="5">
        <v>1078</v>
      </c>
      <c r="AP4" s="15">
        <f>AN4-AO4</f>
        <v>-648.5</v>
      </c>
      <c r="AQ4" s="158">
        <f>'Avril 25 '!AP4+'Mai 25'!AN4</f>
        <v>2996.29</v>
      </c>
      <c r="AR4" s="5">
        <f>'Avril 25 '!AQ4+'Mai 25'!AO4</f>
        <v>3009</v>
      </c>
      <c r="AS4" s="187">
        <f>AQ4-AR4</f>
        <v>-12.710000000000036</v>
      </c>
    </row>
    <row r="5" spans="1:48" ht="24" customHeight="1" thickBot="1" x14ac:dyDescent="0.4">
      <c r="A5" s="27" t="s">
        <v>1</v>
      </c>
      <c r="B5" s="17">
        <v>2</v>
      </c>
      <c r="C5" s="5">
        <v>20</v>
      </c>
      <c r="D5" s="6">
        <v>43</v>
      </c>
      <c r="E5" s="6">
        <v>27</v>
      </c>
      <c r="F5" s="6">
        <v>48</v>
      </c>
      <c r="G5" s="6">
        <v>0</v>
      </c>
      <c r="H5" s="6">
        <v>26</v>
      </c>
      <c r="I5" s="6">
        <v>0</v>
      </c>
      <c r="J5" s="6">
        <v>24</v>
      </c>
      <c r="K5" s="6">
        <v>7</v>
      </c>
      <c r="L5" s="6">
        <v>0</v>
      </c>
      <c r="M5" s="6">
        <v>0</v>
      </c>
      <c r="N5" s="6">
        <v>2</v>
      </c>
      <c r="O5" s="6">
        <v>2</v>
      </c>
      <c r="P5" s="6">
        <v>23</v>
      </c>
      <c r="Q5" s="6">
        <v>0</v>
      </c>
      <c r="R5" s="6">
        <v>40</v>
      </c>
      <c r="S5" s="6">
        <v>0</v>
      </c>
      <c r="T5" s="6">
        <v>0</v>
      </c>
      <c r="U5" s="6">
        <v>12</v>
      </c>
      <c r="V5" s="6">
        <v>0</v>
      </c>
      <c r="W5" s="6">
        <v>5</v>
      </c>
      <c r="X5" s="6">
        <v>26</v>
      </c>
      <c r="Y5" s="6">
        <v>17</v>
      </c>
      <c r="Z5" s="6">
        <v>0</v>
      </c>
      <c r="AA5" s="6">
        <v>3</v>
      </c>
      <c r="AB5" s="6">
        <v>0</v>
      </c>
      <c r="AC5" s="6">
        <v>6</v>
      </c>
      <c r="AD5" s="5">
        <v>7</v>
      </c>
      <c r="AE5" s="13">
        <v>0</v>
      </c>
      <c r="AF5" s="13">
        <v>0</v>
      </c>
      <c r="AH5" s="155" t="s">
        <v>1</v>
      </c>
      <c r="AI5" s="156">
        <f>SUM(B5:AF5)</f>
        <v>340</v>
      </c>
      <c r="AJ5" s="157">
        <f>AVERAGE(B5:AF5)</f>
        <v>10.96774193548387</v>
      </c>
      <c r="AK5" s="5">
        <v>18</v>
      </c>
      <c r="AL5" s="15">
        <f t="shared" ref="AL5:AL6" si="0">AF5-AK5</f>
        <v>-18</v>
      </c>
      <c r="AM5" s="15">
        <f>AJ5-AK5</f>
        <v>-7.0322580645161299</v>
      </c>
      <c r="AN5" s="5">
        <f>AI5</f>
        <v>340</v>
      </c>
      <c r="AO5" s="5">
        <v>694</v>
      </c>
      <c r="AP5" s="14">
        <f t="shared" ref="AP5:AP6" si="1">AN5-AO5</f>
        <v>-354</v>
      </c>
      <c r="AQ5" s="158">
        <f>'Avril 25 '!AP5+'Mai 25'!AN5</f>
        <v>5008</v>
      </c>
      <c r="AR5" s="5">
        <f>'Avril 25 '!AQ5+'Mai 25'!AO5</f>
        <v>2831</v>
      </c>
      <c r="AS5" s="169">
        <f t="shared" ref="AS5:AS10" si="2">AQ5-AR5</f>
        <v>2177</v>
      </c>
    </row>
    <row r="6" spans="1:48" ht="24" customHeight="1" thickBot="1" x14ac:dyDescent="0.4">
      <c r="A6" s="27" t="s">
        <v>2</v>
      </c>
      <c r="B6" s="17">
        <v>58</v>
      </c>
      <c r="C6" s="5">
        <v>12</v>
      </c>
      <c r="D6" s="6">
        <v>12</v>
      </c>
      <c r="E6" s="6">
        <v>31</v>
      </c>
      <c r="F6" s="6">
        <v>12</v>
      </c>
      <c r="G6" s="6">
        <v>5</v>
      </c>
      <c r="H6" s="6">
        <v>178</v>
      </c>
      <c r="I6" s="6">
        <v>13</v>
      </c>
      <c r="J6" s="6">
        <v>17.5</v>
      </c>
      <c r="K6" s="6">
        <v>55</v>
      </c>
      <c r="L6" s="6">
        <v>17</v>
      </c>
      <c r="M6" s="6">
        <v>0</v>
      </c>
      <c r="N6" s="6">
        <v>8</v>
      </c>
      <c r="O6" s="6">
        <v>17</v>
      </c>
      <c r="P6" s="6">
        <v>14</v>
      </c>
      <c r="Q6" s="6">
        <v>19</v>
      </c>
      <c r="R6" s="6">
        <v>31</v>
      </c>
      <c r="S6" s="6">
        <v>21</v>
      </c>
      <c r="T6" s="6">
        <v>21</v>
      </c>
      <c r="U6" s="6">
        <v>20</v>
      </c>
      <c r="V6" s="6">
        <v>10</v>
      </c>
      <c r="W6" s="6">
        <v>19</v>
      </c>
      <c r="X6" s="6">
        <v>0</v>
      </c>
      <c r="Y6" s="6">
        <v>15</v>
      </c>
      <c r="Z6" s="6">
        <v>12</v>
      </c>
      <c r="AA6" s="6">
        <v>0</v>
      </c>
      <c r="AB6" s="6">
        <v>15</v>
      </c>
      <c r="AC6" s="6">
        <v>2</v>
      </c>
      <c r="AD6" s="5">
        <v>6</v>
      </c>
      <c r="AE6" s="13">
        <v>23</v>
      </c>
      <c r="AF6" s="13">
        <v>14</v>
      </c>
      <c r="AH6" s="155" t="s">
        <v>2</v>
      </c>
      <c r="AI6" s="170">
        <f>SUM(B6:AF6)</f>
        <v>677.5</v>
      </c>
      <c r="AJ6" s="157">
        <f>AVERAGE(B6:AF6)</f>
        <v>21.85483870967742</v>
      </c>
      <c r="AK6" s="5">
        <v>18</v>
      </c>
      <c r="AL6" s="15">
        <f t="shared" si="0"/>
        <v>-4</v>
      </c>
      <c r="AM6" s="160">
        <f t="shared" ref="AM6:AM10" si="3">AJ6-AK6</f>
        <v>3.8548387096774199</v>
      </c>
      <c r="AN6" s="158">
        <f>AI6</f>
        <v>677.5</v>
      </c>
      <c r="AO6" s="5">
        <v>419</v>
      </c>
      <c r="AP6" s="160">
        <f t="shared" si="1"/>
        <v>258.5</v>
      </c>
      <c r="AQ6" s="158">
        <f>'Avril 25 '!AP6+'Mai 25'!AN6</f>
        <v>4052.37</v>
      </c>
      <c r="AR6" s="5">
        <f>'Avril 25 '!AQ6+'Mai 25'!AO6</f>
        <v>1669</v>
      </c>
      <c r="AS6" s="169">
        <f t="shared" si="2"/>
        <v>2383.37</v>
      </c>
    </row>
    <row r="7" spans="1:48" ht="29" customHeight="1" thickBot="1" x14ac:dyDescent="0.4">
      <c r="A7" s="28" t="s">
        <v>13</v>
      </c>
      <c r="B7" s="29">
        <f>AVERAGE(B4:B6)</f>
        <v>21.333333333333332</v>
      </c>
      <c r="C7" s="29">
        <f t="shared" ref="C7:AF7" si="4">AVERAGE(C4:C6)</f>
        <v>10.666666666666666</v>
      </c>
      <c r="D7" s="29">
        <f t="shared" si="4"/>
        <v>21.333333333333332</v>
      </c>
      <c r="E7" s="29">
        <f t="shared" si="4"/>
        <v>24</v>
      </c>
      <c r="F7" s="29">
        <f t="shared" si="4"/>
        <v>23.666666666666668</v>
      </c>
      <c r="G7" s="29">
        <f t="shared" si="4"/>
        <v>4.666666666666667</v>
      </c>
      <c r="H7" s="29">
        <f t="shared" si="4"/>
        <v>69.333333333333329</v>
      </c>
      <c r="I7" s="29">
        <f t="shared" si="4"/>
        <v>8.3333333333333339</v>
      </c>
      <c r="J7" s="29">
        <f t="shared" si="4"/>
        <v>21.333333333333332</v>
      </c>
      <c r="K7" s="29">
        <f t="shared" si="4"/>
        <v>58.666666666666664</v>
      </c>
      <c r="L7" s="29">
        <f t="shared" si="4"/>
        <v>15.333333333333334</v>
      </c>
      <c r="M7" s="29">
        <f t="shared" si="4"/>
        <v>7.666666666666667</v>
      </c>
      <c r="N7" s="29">
        <f t="shared" si="4"/>
        <v>16.333333333333332</v>
      </c>
      <c r="O7" s="29">
        <f t="shared" si="4"/>
        <v>7</v>
      </c>
      <c r="P7" s="29">
        <f t="shared" si="4"/>
        <v>12.333333333333334</v>
      </c>
      <c r="Q7" s="29">
        <f t="shared" si="4"/>
        <v>9</v>
      </c>
      <c r="R7" s="29">
        <f t="shared" si="4"/>
        <v>25</v>
      </c>
      <c r="S7" s="29">
        <f t="shared" si="4"/>
        <v>7</v>
      </c>
      <c r="T7" s="29">
        <f t="shared" si="4"/>
        <v>7</v>
      </c>
      <c r="U7" s="29">
        <f t="shared" si="4"/>
        <v>21.333333333333332</v>
      </c>
      <c r="V7" s="29">
        <f t="shared" si="4"/>
        <v>6.333333333333333</v>
      </c>
      <c r="W7" s="29">
        <f t="shared" si="4"/>
        <v>12.333333333333334</v>
      </c>
      <c r="X7" s="29">
        <f t="shared" si="4"/>
        <v>11.333333333333334</v>
      </c>
      <c r="Y7" s="29">
        <f t="shared" si="4"/>
        <v>12.333333333333334</v>
      </c>
      <c r="Z7" s="29">
        <f t="shared" si="4"/>
        <v>12</v>
      </c>
      <c r="AA7" s="29">
        <f t="shared" si="4"/>
        <v>9</v>
      </c>
      <c r="AB7" s="29">
        <f t="shared" si="4"/>
        <v>5</v>
      </c>
      <c r="AC7" s="29">
        <f t="shared" si="4"/>
        <v>4</v>
      </c>
      <c r="AD7" s="29">
        <f t="shared" si="4"/>
        <v>6.333333333333333</v>
      </c>
      <c r="AE7" s="29">
        <f t="shared" si="4"/>
        <v>7.666666666666667</v>
      </c>
      <c r="AF7" s="29">
        <f t="shared" si="4"/>
        <v>4.666666666666667</v>
      </c>
      <c r="AH7" s="155" t="s">
        <v>6</v>
      </c>
      <c r="AI7" s="120">
        <f>AVERAGE(AI4:AI6)</f>
        <v>482.33333333333331</v>
      </c>
      <c r="AJ7" s="121">
        <f>AVERAGE(AJ4:AJ6)</f>
        <v>15.559139784946234</v>
      </c>
      <c r="AK7" s="122">
        <v>18</v>
      </c>
      <c r="AL7" s="184">
        <f>AF7-AK7</f>
        <v>-13.333333333333332</v>
      </c>
      <c r="AM7" s="147">
        <f t="shared" si="3"/>
        <v>-2.4408602150537657</v>
      </c>
      <c r="AN7" s="132">
        <f>SUM(AN4:AN6)</f>
        <v>1447</v>
      </c>
      <c r="AO7" s="132">
        <f>SUM(AO4:AO6)</f>
        <v>2191</v>
      </c>
      <c r="AP7" s="147">
        <f>AN7-AO7</f>
        <v>-744</v>
      </c>
      <c r="AQ7" s="132">
        <f>SUM(AQ4:AQ6)</f>
        <v>12056.66</v>
      </c>
      <c r="AR7" s="132">
        <f>'Avril 25 '!AQ7+'Mai 25'!AO7</f>
        <v>7509</v>
      </c>
      <c r="AS7" s="138">
        <f t="shared" si="2"/>
        <v>4547.66</v>
      </c>
    </row>
    <row r="8" spans="1:48" ht="24" customHeight="1" thickTop="1" thickBot="1" x14ac:dyDescent="0.4">
      <c r="A8" s="33" t="s">
        <v>3</v>
      </c>
      <c r="B8" s="95">
        <v>40</v>
      </c>
      <c r="C8" s="26">
        <v>13</v>
      </c>
      <c r="D8" s="26">
        <v>5</v>
      </c>
      <c r="E8" s="26">
        <v>5</v>
      </c>
      <c r="F8" s="26">
        <v>13</v>
      </c>
      <c r="G8" s="172">
        <v>15</v>
      </c>
      <c r="H8" s="26">
        <v>4</v>
      </c>
      <c r="I8" s="26">
        <v>0</v>
      </c>
      <c r="J8" s="172">
        <v>5.6</v>
      </c>
      <c r="K8" s="26">
        <v>19</v>
      </c>
      <c r="L8" s="26">
        <v>15</v>
      </c>
      <c r="M8" s="26">
        <v>4</v>
      </c>
      <c r="N8" s="26">
        <v>0</v>
      </c>
      <c r="O8" s="26">
        <v>0</v>
      </c>
      <c r="P8" s="26">
        <v>0</v>
      </c>
      <c r="Q8" s="26">
        <v>6</v>
      </c>
      <c r="R8" s="26">
        <v>0</v>
      </c>
      <c r="S8" s="26">
        <v>0</v>
      </c>
      <c r="T8" s="26">
        <v>0</v>
      </c>
      <c r="U8" s="26">
        <v>3</v>
      </c>
      <c r="V8" s="26">
        <v>0</v>
      </c>
      <c r="W8" s="26">
        <v>0</v>
      </c>
      <c r="X8" s="26">
        <v>0</v>
      </c>
      <c r="Y8" s="26">
        <v>0</v>
      </c>
      <c r="Z8" s="26">
        <v>5</v>
      </c>
      <c r="AA8" s="26">
        <v>0</v>
      </c>
      <c r="AB8" s="26">
        <v>0</v>
      </c>
      <c r="AC8" s="26">
        <v>0</v>
      </c>
      <c r="AD8" s="25">
        <v>0</v>
      </c>
      <c r="AE8" s="50">
        <v>15</v>
      </c>
      <c r="AF8" s="50">
        <v>0</v>
      </c>
      <c r="AH8" s="161" t="s">
        <v>3</v>
      </c>
      <c r="AI8" s="170">
        <f>SUM(B8:AF8)</f>
        <v>167.6</v>
      </c>
      <c r="AJ8" s="157">
        <f>AVERAGE(B8:AF8)</f>
        <v>5.4064516129032256</v>
      </c>
      <c r="AK8" s="5">
        <v>18</v>
      </c>
      <c r="AL8" s="15">
        <f>AF8-AK8</f>
        <v>-18</v>
      </c>
      <c r="AM8" s="15">
        <f t="shared" si="3"/>
        <v>-12.593548387096774</v>
      </c>
      <c r="AN8" s="158">
        <f>AI8</f>
        <v>167.6</v>
      </c>
      <c r="AO8" s="5">
        <v>278</v>
      </c>
      <c r="AP8" s="15">
        <f>AN8-AO8</f>
        <v>-110.4</v>
      </c>
      <c r="AQ8" s="158">
        <f>'Avril 25 '!AP8+'Mai 25'!AN8</f>
        <v>2218.6999999999998</v>
      </c>
      <c r="AR8" s="5">
        <f>'Avril 25 '!AQ8+'Mai 25'!AO8</f>
        <v>1105</v>
      </c>
      <c r="AS8" s="169">
        <f t="shared" si="2"/>
        <v>1113.6999999999998</v>
      </c>
    </row>
    <row r="9" spans="1:48" ht="24" customHeight="1" thickBot="1" x14ac:dyDescent="0.4">
      <c r="A9" s="36" t="s">
        <v>4</v>
      </c>
      <c r="B9" s="96">
        <v>0</v>
      </c>
      <c r="C9" s="6">
        <v>0</v>
      </c>
      <c r="D9" s="6">
        <v>6</v>
      </c>
      <c r="E9" s="6">
        <v>9</v>
      </c>
      <c r="F9" s="6">
        <v>0</v>
      </c>
      <c r="G9" s="6">
        <v>3</v>
      </c>
      <c r="H9" s="6">
        <v>30</v>
      </c>
      <c r="I9" s="6">
        <v>34</v>
      </c>
      <c r="J9" s="6">
        <v>5</v>
      </c>
      <c r="K9" s="6">
        <v>0</v>
      </c>
      <c r="L9" s="6">
        <v>5</v>
      </c>
      <c r="M9" s="6">
        <v>0</v>
      </c>
      <c r="N9" s="6">
        <v>0</v>
      </c>
      <c r="O9" s="6">
        <v>0</v>
      </c>
      <c r="P9" s="6">
        <v>0</v>
      </c>
      <c r="Q9" s="6">
        <v>9</v>
      </c>
      <c r="R9" s="6">
        <v>9</v>
      </c>
      <c r="S9" s="6">
        <v>4</v>
      </c>
      <c r="T9" s="6">
        <v>0</v>
      </c>
      <c r="U9" s="6">
        <v>3</v>
      </c>
      <c r="V9" s="6">
        <v>6</v>
      </c>
      <c r="W9" s="6">
        <v>194</v>
      </c>
      <c r="X9" s="6">
        <v>55</v>
      </c>
      <c r="Y9" s="6">
        <v>24</v>
      </c>
      <c r="Z9" s="6">
        <v>0</v>
      </c>
      <c r="AA9" s="6">
        <v>0</v>
      </c>
      <c r="AB9" s="6">
        <v>28</v>
      </c>
      <c r="AC9" s="6">
        <v>0</v>
      </c>
      <c r="AD9" s="5">
        <v>13</v>
      </c>
      <c r="AE9" s="13">
        <v>29</v>
      </c>
      <c r="AF9" s="13">
        <v>0</v>
      </c>
      <c r="AH9" s="161" t="s">
        <v>4</v>
      </c>
      <c r="AI9" s="156">
        <f>SUM(B9:AF9)</f>
        <v>466</v>
      </c>
      <c r="AJ9" s="157">
        <f>AVERAGE(B9:AF9)</f>
        <v>15.03225806451613</v>
      </c>
      <c r="AK9" s="5">
        <v>18</v>
      </c>
      <c r="AL9" s="15">
        <f>AF9-AK9</f>
        <v>-18</v>
      </c>
      <c r="AM9" s="15">
        <f t="shared" si="3"/>
        <v>-2.9677419354838701</v>
      </c>
      <c r="AN9" s="5">
        <f>AI9</f>
        <v>466</v>
      </c>
      <c r="AO9" s="5">
        <v>743</v>
      </c>
      <c r="AP9" s="14">
        <f>AN9-AO9</f>
        <v>-277</v>
      </c>
      <c r="AQ9" s="158">
        <f>'Avril 25 '!AP9+'Mai 25'!AN9</f>
        <v>2936</v>
      </c>
      <c r="AR9" s="5">
        <f>'Avril 25 '!AQ9+'Mai 25'!AO9</f>
        <v>2721</v>
      </c>
      <c r="AS9" s="169">
        <f t="shared" si="2"/>
        <v>215</v>
      </c>
    </row>
    <row r="10" spans="1:48" ht="24" customHeight="1" thickBot="1" x14ac:dyDescent="0.4">
      <c r="A10" s="36" t="s">
        <v>5</v>
      </c>
      <c r="B10" s="97">
        <v>43</v>
      </c>
      <c r="C10" s="6">
        <v>19</v>
      </c>
      <c r="D10" s="6">
        <v>44</v>
      </c>
      <c r="E10" s="6">
        <v>15</v>
      </c>
      <c r="F10" s="6">
        <v>1</v>
      </c>
      <c r="G10" s="6">
        <v>4</v>
      </c>
      <c r="H10" s="6">
        <v>11</v>
      </c>
      <c r="I10" s="6">
        <v>0</v>
      </c>
      <c r="J10" s="6">
        <v>16</v>
      </c>
      <c r="K10" s="6">
        <v>40</v>
      </c>
      <c r="L10" s="6">
        <v>40</v>
      </c>
      <c r="M10" s="6">
        <v>3</v>
      </c>
      <c r="N10" s="6">
        <v>0</v>
      </c>
      <c r="O10" s="6">
        <v>0</v>
      </c>
      <c r="P10" s="6">
        <v>0</v>
      </c>
      <c r="Q10" s="6">
        <v>13</v>
      </c>
      <c r="R10" s="6">
        <v>6</v>
      </c>
      <c r="S10" s="6">
        <v>11</v>
      </c>
      <c r="T10" s="6">
        <v>0</v>
      </c>
      <c r="U10" s="6">
        <v>15</v>
      </c>
      <c r="V10" s="6">
        <v>12</v>
      </c>
      <c r="W10" s="6">
        <v>3</v>
      </c>
      <c r="X10" s="6">
        <v>0</v>
      </c>
      <c r="Y10" s="6">
        <v>26</v>
      </c>
      <c r="Z10" s="6">
        <v>4</v>
      </c>
      <c r="AA10" s="6">
        <v>4</v>
      </c>
      <c r="AB10" s="6">
        <v>0</v>
      </c>
      <c r="AC10" s="6">
        <v>18</v>
      </c>
      <c r="AD10" s="5">
        <v>0</v>
      </c>
      <c r="AE10" s="13">
        <v>10</v>
      </c>
      <c r="AF10" s="13">
        <v>0</v>
      </c>
      <c r="AH10" s="161" t="s">
        <v>5</v>
      </c>
      <c r="AI10" s="156">
        <f>SUM(B10:AF10)</f>
        <v>358</v>
      </c>
      <c r="AJ10" s="157">
        <f>AVERAGE(B10:AF10)</f>
        <v>11.548387096774194</v>
      </c>
      <c r="AK10" s="5">
        <v>18</v>
      </c>
      <c r="AL10" s="15">
        <f>AF10-AK10</f>
        <v>-18</v>
      </c>
      <c r="AM10" s="15">
        <f t="shared" si="3"/>
        <v>-6.4516129032258061</v>
      </c>
      <c r="AN10" s="5">
        <f>AI10</f>
        <v>358</v>
      </c>
      <c r="AO10" s="5">
        <v>391</v>
      </c>
      <c r="AP10" s="182">
        <f t="shared" ref="AP10" si="5">AN10-AO10</f>
        <v>-33</v>
      </c>
      <c r="AQ10" s="158">
        <f>'Avril 25 '!AP10+'Mai 25'!AN10</f>
        <v>2189</v>
      </c>
      <c r="AR10" s="5">
        <f>'Avril 25 '!AQ10+'Mai 25'!AO10</f>
        <v>1427</v>
      </c>
      <c r="AS10" s="169">
        <f t="shared" si="2"/>
        <v>762</v>
      </c>
    </row>
    <row r="11" spans="1:48" ht="24" customHeight="1" thickBot="1" x14ac:dyDescent="0.4">
      <c r="A11" s="37" t="s">
        <v>7</v>
      </c>
      <c r="B11" s="38">
        <f>AVERAGE(B8:B10)</f>
        <v>27.666666666666668</v>
      </c>
      <c r="C11" s="38">
        <f t="shared" ref="C11:AF11" si="6">AVERAGE(C8:C10)</f>
        <v>10.666666666666666</v>
      </c>
      <c r="D11" s="38">
        <f t="shared" si="6"/>
        <v>18.333333333333332</v>
      </c>
      <c r="E11" s="128">
        <f t="shared" si="6"/>
        <v>9.6666666666666661</v>
      </c>
      <c r="F11" s="128">
        <f t="shared" si="6"/>
        <v>4.666666666666667</v>
      </c>
      <c r="G11" s="128">
        <f t="shared" si="6"/>
        <v>7.333333333333333</v>
      </c>
      <c r="H11" s="128">
        <f t="shared" si="6"/>
        <v>15</v>
      </c>
      <c r="I11" s="128">
        <f t="shared" si="6"/>
        <v>11.333333333333334</v>
      </c>
      <c r="J11" s="128">
        <f t="shared" si="6"/>
        <v>8.8666666666666671</v>
      </c>
      <c r="K11" s="128">
        <f t="shared" si="6"/>
        <v>19.666666666666668</v>
      </c>
      <c r="L11" s="128">
        <f t="shared" si="6"/>
        <v>20</v>
      </c>
      <c r="M11" s="128">
        <f t="shared" si="6"/>
        <v>2.3333333333333335</v>
      </c>
      <c r="N11" s="128">
        <f t="shared" si="6"/>
        <v>0</v>
      </c>
      <c r="O11" s="128">
        <f t="shared" si="6"/>
        <v>0</v>
      </c>
      <c r="P11" s="128">
        <f t="shared" si="6"/>
        <v>0</v>
      </c>
      <c r="Q11" s="128">
        <f t="shared" si="6"/>
        <v>9.3333333333333339</v>
      </c>
      <c r="R11" s="128">
        <f t="shared" si="6"/>
        <v>5</v>
      </c>
      <c r="S11" s="128">
        <f t="shared" si="6"/>
        <v>5</v>
      </c>
      <c r="T11" s="128">
        <f t="shared" si="6"/>
        <v>0</v>
      </c>
      <c r="U11" s="128">
        <f t="shared" si="6"/>
        <v>7</v>
      </c>
      <c r="V11" s="128">
        <f t="shared" si="6"/>
        <v>6</v>
      </c>
      <c r="W11" s="128">
        <f t="shared" si="6"/>
        <v>65.666666666666671</v>
      </c>
      <c r="X11" s="128">
        <f t="shared" si="6"/>
        <v>18.333333333333332</v>
      </c>
      <c r="Y11" s="128">
        <f t="shared" si="6"/>
        <v>16.666666666666668</v>
      </c>
      <c r="Z11" s="128">
        <f t="shared" si="6"/>
        <v>3</v>
      </c>
      <c r="AA11" s="128">
        <f t="shared" si="6"/>
        <v>1.3333333333333333</v>
      </c>
      <c r="AB11" s="128">
        <f t="shared" si="6"/>
        <v>9.3333333333333339</v>
      </c>
      <c r="AC11" s="128">
        <f t="shared" si="6"/>
        <v>6</v>
      </c>
      <c r="AD11" s="128">
        <f t="shared" si="6"/>
        <v>4.333333333333333</v>
      </c>
      <c r="AE11" s="128">
        <f t="shared" si="6"/>
        <v>18</v>
      </c>
      <c r="AF11" s="128">
        <f t="shared" si="6"/>
        <v>0</v>
      </c>
      <c r="AH11" s="161" t="s">
        <v>7</v>
      </c>
      <c r="AI11" s="123">
        <f>AVERAGE(AI8:AI10)</f>
        <v>330.53333333333336</v>
      </c>
      <c r="AJ11" s="124">
        <f>AVERAGE(AJ8:AJ10)</f>
        <v>10.662365591397849</v>
      </c>
      <c r="AK11" s="125">
        <v>18</v>
      </c>
      <c r="AL11" s="180">
        <f>AF11-AK11</f>
        <v>-18</v>
      </c>
      <c r="AM11" s="126">
        <f>AJ11-AK11</f>
        <v>-7.3376344086021508</v>
      </c>
      <c r="AN11" s="136">
        <f>SUM(AN8:AN10)</f>
        <v>991.6</v>
      </c>
      <c r="AO11" s="136">
        <f>SUM(AO8:AO10)</f>
        <v>1412</v>
      </c>
      <c r="AP11" s="126">
        <f>AN11-AO11</f>
        <v>-420.4</v>
      </c>
      <c r="AQ11" s="136">
        <f>'Avril 25 '!AP11+'Mai 25'!AN11</f>
        <v>7343.7000000000007</v>
      </c>
      <c r="AR11" s="136">
        <f>'Avril 25 '!AQ11+'Mai 25'!AO11</f>
        <v>5253</v>
      </c>
      <c r="AS11" s="146">
        <f>AQ11-AR11</f>
        <v>2090.7000000000007</v>
      </c>
    </row>
    <row r="12" spans="1:48" ht="9.5" customHeight="1" thickTop="1" thickBot="1" x14ac:dyDescent="0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J12" s="4"/>
      <c r="AK12" s="7"/>
      <c r="AL12" s="15"/>
      <c r="AM12" s="8"/>
      <c r="AN12" s="10"/>
    </row>
    <row r="13" spans="1:48" ht="59" customHeight="1" thickTop="1" thickBot="1" x14ac:dyDescent="0.4">
      <c r="A13" s="42" t="s">
        <v>8</v>
      </c>
      <c r="B13" s="43">
        <f>AVERAGE(B11,B7)</f>
        <v>24.5</v>
      </c>
      <c r="C13" s="43">
        <f t="shared" ref="C13:AF13" si="7">AVERAGE(C11,C7)</f>
        <v>10.666666666666666</v>
      </c>
      <c r="D13" s="43">
        <f t="shared" si="7"/>
        <v>19.833333333333332</v>
      </c>
      <c r="E13" s="43">
        <f t="shared" si="7"/>
        <v>16.833333333333332</v>
      </c>
      <c r="F13" s="43">
        <f t="shared" si="7"/>
        <v>14.166666666666668</v>
      </c>
      <c r="G13" s="43">
        <f t="shared" si="7"/>
        <v>6</v>
      </c>
      <c r="H13" s="43">
        <f t="shared" si="7"/>
        <v>42.166666666666664</v>
      </c>
      <c r="I13" s="43">
        <f t="shared" si="7"/>
        <v>9.8333333333333339</v>
      </c>
      <c r="J13" s="43">
        <f t="shared" si="7"/>
        <v>15.1</v>
      </c>
      <c r="K13" s="43">
        <f t="shared" si="7"/>
        <v>39.166666666666664</v>
      </c>
      <c r="L13" s="43">
        <f t="shared" si="7"/>
        <v>17.666666666666668</v>
      </c>
      <c r="M13" s="43">
        <f t="shared" si="7"/>
        <v>5</v>
      </c>
      <c r="N13" s="43">
        <f t="shared" si="7"/>
        <v>8.1666666666666661</v>
      </c>
      <c r="O13" s="43">
        <f t="shared" si="7"/>
        <v>3.5</v>
      </c>
      <c r="P13" s="43">
        <f t="shared" si="7"/>
        <v>6.166666666666667</v>
      </c>
      <c r="Q13" s="43">
        <f t="shared" si="7"/>
        <v>9.1666666666666679</v>
      </c>
      <c r="R13" s="43">
        <f t="shared" si="7"/>
        <v>15</v>
      </c>
      <c r="S13" s="43">
        <f t="shared" si="7"/>
        <v>6</v>
      </c>
      <c r="T13" s="43">
        <f t="shared" si="7"/>
        <v>3.5</v>
      </c>
      <c r="U13" s="43">
        <f t="shared" si="7"/>
        <v>14.166666666666666</v>
      </c>
      <c r="V13" s="43">
        <f t="shared" si="7"/>
        <v>6.1666666666666661</v>
      </c>
      <c r="W13" s="43">
        <f t="shared" si="7"/>
        <v>39</v>
      </c>
      <c r="X13" s="43">
        <f t="shared" si="7"/>
        <v>14.833333333333332</v>
      </c>
      <c r="Y13" s="43">
        <f t="shared" si="7"/>
        <v>14.5</v>
      </c>
      <c r="Z13" s="43">
        <f t="shared" si="7"/>
        <v>7.5</v>
      </c>
      <c r="AA13" s="43">
        <f t="shared" si="7"/>
        <v>5.166666666666667</v>
      </c>
      <c r="AB13" s="43">
        <f t="shared" si="7"/>
        <v>7.166666666666667</v>
      </c>
      <c r="AC13" s="43">
        <f t="shared" si="7"/>
        <v>5</v>
      </c>
      <c r="AD13" s="43">
        <f t="shared" si="7"/>
        <v>5.333333333333333</v>
      </c>
      <c r="AE13" s="43">
        <f t="shared" si="7"/>
        <v>12.833333333333334</v>
      </c>
      <c r="AF13" s="43">
        <f t="shared" si="7"/>
        <v>2.3333333333333335</v>
      </c>
      <c r="AH13" s="85" t="s">
        <v>8</v>
      </c>
      <c r="AI13" s="86">
        <f>AVERAGE(AI11,AI7)</f>
        <v>406.43333333333334</v>
      </c>
      <c r="AJ13" s="86">
        <f>AVERAGE(AJ11,AJ7)</f>
        <v>13.110752688172042</v>
      </c>
      <c r="AK13" s="87">
        <v>18</v>
      </c>
      <c r="AL13" s="88">
        <f>AF13-AK13</f>
        <v>-15.666666666666666</v>
      </c>
      <c r="AM13" s="88">
        <f>AJ13-AK13</f>
        <v>-4.8892473118279582</v>
      </c>
      <c r="AN13" s="87">
        <f>SUM(AN7,AN11)</f>
        <v>2438.6</v>
      </c>
      <c r="AO13" s="87">
        <f>SUM(AO7,AO11)</f>
        <v>3603</v>
      </c>
      <c r="AP13" s="183">
        <f>AN13-AO13</f>
        <v>-1164.4000000000001</v>
      </c>
      <c r="AQ13" s="154">
        <f>SUM(AQ11,AQ7)</f>
        <v>19400.36</v>
      </c>
      <c r="AR13" s="154">
        <f>SUM(AR11,AR7)</f>
        <v>12762</v>
      </c>
      <c r="AS13" s="152">
        <f>AQ13-AR13</f>
        <v>6638.3600000000006</v>
      </c>
    </row>
    <row r="14" spans="1:48" ht="15" thickTop="1" x14ac:dyDescent="0.35"/>
    <row r="15" spans="1:48" ht="21" x14ac:dyDescent="0.5">
      <c r="A15" s="176"/>
      <c r="B15" s="176"/>
      <c r="C15" s="176"/>
      <c r="D15" s="176"/>
      <c r="E15" s="176"/>
      <c r="F15" s="176"/>
      <c r="G15" s="176"/>
      <c r="H15" s="176"/>
    </row>
    <row r="16" spans="1:48" ht="23.5" x14ac:dyDescent="0.35">
      <c r="A16" s="177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</row>
    <row r="17" spans="1:21" ht="23.5" x14ac:dyDescent="0.35">
      <c r="A17" s="177"/>
      <c r="B17" s="177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</row>
    <row r="18" spans="1:21" ht="23.5" x14ac:dyDescent="0.35">
      <c r="A18" s="177"/>
      <c r="B18" s="177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</row>
  </sheetData>
  <mergeCells count="1">
    <mergeCell ref="A1:AS1"/>
  </mergeCells>
  <printOptions horizontalCentered="1" verticalCentered="1"/>
  <pageMargins left="0" right="0" top="0" bottom="0" header="0" footer="0"/>
  <pageSetup paperSize="9" scale="9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8"/>
  <sheetViews>
    <sheetView topLeftCell="A2" zoomScale="70" zoomScaleNormal="70" workbookViewId="0">
      <selection activeCell="AH5" sqref="AH5"/>
    </sheetView>
  </sheetViews>
  <sheetFormatPr baseColWidth="10" defaultRowHeight="14.5" x14ac:dyDescent="0.35"/>
  <cols>
    <col min="1" max="1" width="8.7265625" customWidth="1"/>
    <col min="2" max="31" width="3.90625" customWidth="1"/>
    <col min="32" max="32" width="2.26953125" customWidth="1"/>
    <col min="33" max="33" width="6.1796875" customWidth="1"/>
    <col min="34" max="41" width="9.1796875" customWidth="1"/>
  </cols>
  <sheetData>
    <row r="1" spans="1:47" ht="23.5" x14ac:dyDescent="0.35">
      <c r="A1" s="201" t="s">
        <v>28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202"/>
      <c r="AL1" s="202"/>
      <c r="AM1" s="202"/>
      <c r="AN1" s="202"/>
      <c r="AO1" s="202"/>
      <c r="AP1" s="202"/>
      <c r="AQ1" s="202"/>
      <c r="AR1" s="202"/>
    </row>
    <row r="2" spans="1:47" ht="9.5" customHeight="1" thickBot="1" x14ac:dyDescent="0.4"/>
    <row r="3" spans="1:47" ht="69.5" customHeight="1" thickTop="1" thickBot="1" x14ac:dyDescent="0.4">
      <c r="A3" s="1"/>
      <c r="B3" s="20">
        <v>45748</v>
      </c>
      <c r="C3" s="20">
        <v>45749</v>
      </c>
      <c r="D3" s="20">
        <v>45750</v>
      </c>
      <c r="E3" s="20">
        <v>45751</v>
      </c>
      <c r="F3" s="20">
        <v>45752</v>
      </c>
      <c r="G3" s="20">
        <v>45753</v>
      </c>
      <c r="H3" s="20">
        <v>45754</v>
      </c>
      <c r="I3" s="20">
        <v>45755</v>
      </c>
      <c r="J3" s="20">
        <v>45756</v>
      </c>
      <c r="K3" s="20">
        <v>45757</v>
      </c>
      <c r="L3" s="20">
        <v>45758</v>
      </c>
      <c r="M3" s="20">
        <v>45759</v>
      </c>
      <c r="N3" s="20">
        <v>45760</v>
      </c>
      <c r="O3" s="20">
        <v>45761</v>
      </c>
      <c r="P3" s="20">
        <v>45762</v>
      </c>
      <c r="Q3" s="20">
        <v>45763</v>
      </c>
      <c r="R3" s="20">
        <v>45764</v>
      </c>
      <c r="S3" s="20">
        <v>45765</v>
      </c>
      <c r="T3" s="20">
        <v>45766</v>
      </c>
      <c r="U3" s="20">
        <v>45767</v>
      </c>
      <c r="V3" s="20">
        <v>45768</v>
      </c>
      <c r="W3" s="20">
        <v>45769</v>
      </c>
      <c r="X3" s="20">
        <v>45770</v>
      </c>
      <c r="Y3" s="20">
        <v>45771</v>
      </c>
      <c r="Z3" s="20">
        <v>45772</v>
      </c>
      <c r="AA3" s="20">
        <v>45773</v>
      </c>
      <c r="AB3" s="20">
        <v>45774</v>
      </c>
      <c r="AC3" s="20">
        <v>45775</v>
      </c>
      <c r="AD3" s="20">
        <v>45776</v>
      </c>
      <c r="AE3" s="20">
        <v>45777</v>
      </c>
      <c r="AF3" s="3"/>
      <c r="AH3" s="104" t="s">
        <v>9</v>
      </c>
      <c r="AI3" s="105" t="s">
        <v>10</v>
      </c>
      <c r="AJ3" s="105" t="s">
        <v>17</v>
      </c>
      <c r="AK3" s="106" t="s">
        <v>11</v>
      </c>
      <c r="AL3" s="106" t="s">
        <v>12</v>
      </c>
      <c r="AM3" s="107" t="s">
        <v>29</v>
      </c>
      <c r="AN3" s="107" t="s">
        <v>30</v>
      </c>
      <c r="AO3" s="106" t="s">
        <v>16</v>
      </c>
      <c r="AP3" s="162" t="s">
        <v>21</v>
      </c>
      <c r="AQ3" s="162" t="s">
        <v>22</v>
      </c>
      <c r="AR3" s="163" t="s">
        <v>16</v>
      </c>
      <c r="AS3" s="153"/>
      <c r="AT3" s="153"/>
      <c r="AU3" s="153"/>
    </row>
    <row r="4" spans="1:47" ht="24" customHeight="1" thickTop="1" thickBot="1" x14ac:dyDescent="0.4">
      <c r="A4" s="23" t="s">
        <v>0</v>
      </c>
      <c r="B4" s="24">
        <v>11</v>
      </c>
      <c r="C4" s="25">
        <v>10</v>
      </c>
      <c r="D4" s="26">
        <v>0</v>
      </c>
      <c r="E4" s="26">
        <v>25.62</v>
      </c>
      <c r="F4" s="26">
        <v>36</v>
      </c>
      <c r="G4" s="172">
        <v>35</v>
      </c>
      <c r="H4" s="26">
        <v>11</v>
      </c>
      <c r="I4" s="26">
        <v>21</v>
      </c>
      <c r="J4" s="172">
        <v>5</v>
      </c>
      <c r="K4" s="172">
        <v>12</v>
      </c>
      <c r="L4" s="26">
        <v>14</v>
      </c>
      <c r="M4" s="26">
        <v>4</v>
      </c>
      <c r="N4" s="26">
        <v>6</v>
      </c>
      <c r="O4" s="26">
        <v>0</v>
      </c>
      <c r="P4" s="26">
        <v>99</v>
      </c>
      <c r="Q4" s="26">
        <v>7</v>
      </c>
      <c r="R4" s="26">
        <v>4</v>
      </c>
      <c r="S4" s="26">
        <v>5</v>
      </c>
      <c r="T4" s="26">
        <v>34</v>
      </c>
      <c r="U4" s="26">
        <v>6</v>
      </c>
      <c r="V4" s="26">
        <v>39</v>
      </c>
      <c r="W4" s="26">
        <v>0</v>
      </c>
      <c r="X4" s="26">
        <v>9</v>
      </c>
      <c r="Y4" s="26">
        <v>3</v>
      </c>
      <c r="Z4" s="26">
        <v>3</v>
      </c>
      <c r="AA4" s="26">
        <v>4</v>
      </c>
      <c r="AB4" s="26">
        <v>12</v>
      </c>
      <c r="AC4" s="26">
        <v>26</v>
      </c>
      <c r="AD4" s="25">
        <v>9</v>
      </c>
      <c r="AE4" s="50">
        <v>13</v>
      </c>
      <c r="AG4" s="155" t="s">
        <v>0</v>
      </c>
      <c r="AH4" s="170">
        <f>SUM(B4:AE4)</f>
        <v>463.62</v>
      </c>
      <c r="AI4" s="157">
        <f>AVERAGE(B4:AE4)</f>
        <v>15.454000000000001</v>
      </c>
      <c r="AJ4" s="5">
        <v>18</v>
      </c>
      <c r="AK4" s="15">
        <f>AE4-AJ4</f>
        <v>-5</v>
      </c>
      <c r="AL4" s="15">
        <f>AI4-AJ4</f>
        <v>-2.5459999999999994</v>
      </c>
      <c r="AM4" s="158">
        <f>AH4</f>
        <v>463.62</v>
      </c>
      <c r="AN4" s="5">
        <v>658</v>
      </c>
      <c r="AO4" s="175">
        <f>AM4-AN4</f>
        <v>-194.38</v>
      </c>
      <c r="AP4" s="158">
        <f>'Mars 25'!AQ4+'Avril 25 '!AM4</f>
        <v>2566.79</v>
      </c>
      <c r="AQ4" s="5">
        <f>'Mars 25'!AR4+'Avril 25 '!AN4</f>
        <v>1931</v>
      </c>
      <c r="AR4" s="169">
        <f>AP4-AQ4</f>
        <v>635.79</v>
      </c>
    </row>
    <row r="5" spans="1:47" ht="24" customHeight="1" thickBot="1" x14ac:dyDescent="0.4">
      <c r="A5" s="27" t="s">
        <v>1</v>
      </c>
      <c r="B5" s="17">
        <v>8</v>
      </c>
      <c r="C5" s="5">
        <v>1</v>
      </c>
      <c r="D5" s="6">
        <v>345</v>
      </c>
      <c r="E5" s="6">
        <v>4</v>
      </c>
      <c r="F5" s="6">
        <v>21</v>
      </c>
      <c r="G5" s="6">
        <v>31</v>
      </c>
      <c r="H5" s="6">
        <v>103</v>
      </c>
      <c r="I5" s="6">
        <v>0</v>
      </c>
      <c r="J5" s="6">
        <v>49</v>
      </c>
      <c r="K5" s="6">
        <v>54</v>
      </c>
      <c r="L5" s="6">
        <v>7</v>
      </c>
      <c r="M5" s="6">
        <v>8</v>
      </c>
      <c r="N5" s="6">
        <v>0</v>
      </c>
      <c r="O5" s="6">
        <v>19</v>
      </c>
      <c r="P5" s="6">
        <v>0</v>
      </c>
      <c r="Q5" s="6">
        <v>2</v>
      </c>
      <c r="R5" s="6">
        <v>45</v>
      </c>
      <c r="S5" s="6">
        <v>56</v>
      </c>
      <c r="T5" s="6">
        <v>4</v>
      </c>
      <c r="U5" s="6">
        <v>3</v>
      </c>
      <c r="V5" s="6">
        <v>55</v>
      </c>
      <c r="W5" s="6">
        <v>16</v>
      </c>
      <c r="X5" s="6">
        <v>10</v>
      </c>
      <c r="Y5" s="6">
        <v>3</v>
      </c>
      <c r="Z5" s="6">
        <v>3</v>
      </c>
      <c r="AA5" s="6">
        <v>7</v>
      </c>
      <c r="AB5" s="6">
        <v>7</v>
      </c>
      <c r="AC5" s="6">
        <v>16</v>
      </c>
      <c r="AD5" s="5">
        <v>3</v>
      </c>
      <c r="AE5" s="13">
        <v>8</v>
      </c>
      <c r="AG5" s="155" t="s">
        <v>1</v>
      </c>
      <c r="AH5" s="156">
        <f>SUM(B5:AE5)</f>
        <v>888</v>
      </c>
      <c r="AI5" s="157">
        <f>AVERAGE(B5:AE5)</f>
        <v>29.6</v>
      </c>
      <c r="AJ5" s="5">
        <v>18</v>
      </c>
      <c r="AK5" s="15">
        <f t="shared" ref="AK5:AK11" si="0">AE5-AJ5</f>
        <v>-10</v>
      </c>
      <c r="AL5" s="160">
        <f>AI5-AJ5</f>
        <v>11.600000000000001</v>
      </c>
      <c r="AM5" s="5">
        <f>AH5</f>
        <v>888</v>
      </c>
      <c r="AN5" s="5">
        <v>706</v>
      </c>
      <c r="AO5" s="159">
        <f t="shared" ref="AO5:AO6" si="1">AM5-AN5</f>
        <v>182</v>
      </c>
      <c r="AP5" s="158">
        <f>'Mars 25'!AQ5+'Avril 25 '!AM5</f>
        <v>4668</v>
      </c>
      <c r="AQ5" s="5">
        <f>'Mars 25'!AR5+'Avril 25 '!AN5</f>
        <v>2137</v>
      </c>
      <c r="AR5" s="169">
        <f t="shared" ref="AR5:AR10" si="2">AP5-AQ5</f>
        <v>2531</v>
      </c>
    </row>
    <row r="6" spans="1:47" ht="24" customHeight="1" thickBot="1" x14ac:dyDescent="0.4">
      <c r="A6" s="27" t="s">
        <v>2</v>
      </c>
      <c r="B6" s="17">
        <v>7</v>
      </c>
      <c r="C6" s="5">
        <v>7</v>
      </c>
      <c r="D6" s="6">
        <v>73</v>
      </c>
      <c r="E6" s="6">
        <v>6</v>
      </c>
      <c r="F6" s="6">
        <v>3</v>
      </c>
      <c r="G6" s="6">
        <v>5</v>
      </c>
      <c r="H6" s="6">
        <v>11</v>
      </c>
      <c r="I6" s="6">
        <v>28</v>
      </c>
      <c r="J6" s="6">
        <v>11</v>
      </c>
      <c r="K6" s="6">
        <v>7</v>
      </c>
      <c r="L6" s="6">
        <v>9</v>
      </c>
      <c r="M6" s="6">
        <v>15</v>
      </c>
      <c r="N6" s="6">
        <v>2</v>
      </c>
      <c r="O6" s="6">
        <v>4</v>
      </c>
      <c r="P6" s="6">
        <v>2</v>
      </c>
      <c r="Q6" s="6">
        <v>15</v>
      </c>
      <c r="R6" s="6">
        <v>36</v>
      </c>
      <c r="S6" s="6">
        <v>11</v>
      </c>
      <c r="T6" s="6">
        <v>13</v>
      </c>
      <c r="U6" s="6">
        <v>20</v>
      </c>
      <c r="V6" s="6">
        <v>111</v>
      </c>
      <c r="W6" s="6">
        <v>13</v>
      </c>
      <c r="X6" s="6">
        <v>111</v>
      </c>
      <c r="Y6" s="6">
        <v>39</v>
      </c>
      <c r="Z6" s="6">
        <v>38</v>
      </c>
      <c r="AA6" s="6">
        <v>34</v>
      </c>
      <c r="AB6" s="6">
        <v>24</v>
      </c>
      <c r="AC6" s="6">
        <v>5</v>
      </c>
      <c r="AD6" s="5">
        <v>14</v>
      </c>
      <c r="AE6" s="13">
        <v>3</v>
      </c>
      <c r="AG6" s="155" t="s">
        <v>2</v>
      </c>
      <c r="AH6" s="170">
        <f>SUM(B6:AE6)</f>
        <v>677</v>
      </c>
      <c r="AI6" s="157">
        <f>AVERAGE(B6:AE6)</f>
        <v>22.566666666666666</v>
      </c>
      <c r="AJ6" s="5">
        <v>18</v>
      </c>
      <c r="AK6" s="15">
        <f t="shared" si="0"/>
        <v>-15</v>
      </c>
      <c r="AL6" s="160">
        <f>AI6-AJ6</f>
        <v>4.5666666666666664</v>
      </c>
      <c r="AM6" s="158">
        <f>AH6</f>
        <v>677</v>
      </c>
      <c r="AN6" s="5">
        <v>545</v>
      </c>
      <c r="AO6" s="171">
        <f t="shared" si="1"/>
        <v>132</v>
      </c>
      <c r="AP6" s="158">
        <f>'Mars 25'!AQ6+'Avril 25 '!AM6</f>
        <v>3374.87</v>
      </c>
      <c r="AQ6" s="5">
        <f>'Mars 25'!AR6+'Avril 25 '!AN6</f>
        <v>1250</v>
      </c>
      <c r="AR6" s="169">
        <f t="shared" si="2"/>
        <v>2124.87</v>
      </c>
    </row>
    <row r="7" spans="1:47" ht="29" customHeight="1" thickBot="1" x14ac:dyDescent="0.4">
      <c r="A7" s="28" t="s">
        <v>13</v>
      </c>
      <c r="B7" s="29">
        <f t="shared" ref="B7:AE7" si="3">AVERAGE(B4:B6)</f>
        <v>8.6666666666666661</v>
      </c>
      <c r="C7" s="29">
        <f t="shared" si="3"/>
        <v>6</v>
      </c>
      <c r="D7" s="29">
        <f t="shared" si="3"/>
        <v>139.33333333333334</v>
      </c>
      <c r="E7" s="29">
        <f t="shared" si="3"/>
        <v>11.873333333333335</v>
      </c>
      <c r="F7" s="29">
        <f t="shared" si="3"/>
        <v>20</v>
      </c>
      <c r="G7" s="29">
        <f t="shared" si="3"/>
        <v>23.666666666666668</v>
      </c>
      <c r="H7" s="29">
        <f t="shared" si="3"/>
        <v>41.666666666666664</v>
      </c>
      <c r="I7" s="29">
        <f t="shared" si="3"/>
        <v>16.333333333333332</v>
      </c>
      <c r="J7" s="29">
        <f t="shared" si="3"/>
        <v>21.666666666666668</v>
      </c>
      <c r="K7" s="29">
        <f t="shared" si="3"/>
        <v>24.333333333333332</v>
      </c>
      <c r="L7" s="29">
        <f t="shared" si="3"/>
        <v>10</v>
      </c>
      <c r="M7" s="29">
        <f t="shared" si="3"/>
        <v>9</v>
      </c>
      <c r="N7" s="29">
        <f t="shared" si="3"/>
        <v>2.6666666666666665</v>
      </c>
      <c r="O7" s="29">
        <f t="shared" si="3"/>
        <v>7.666666666666667</v>
      </c>
      <c r="P7" s="29">
        <f t="shared" si="3"/>
        <v>33.666666666666664</v>
      </c>
      <c r="Q7" s="29">
        <f t="shared" si="3"/>
        <v>8</v>
      </c>
      <c r="R7" s="29">
        <f t="shared" si="3"/>
        <v>28.333333333333332</v>
      </c>
      <c r="S7" s="29">
        <f t="shared" si="3"/>
        <v>24</v>
      </c>
      <c r="T7" s="29">
        <f t="shared" si="3"/>
        <v>17</v>
      </c>
      <c r="U7" s="29">
        <f t="shared" si="3"/>
        <v>9.6666666666666661</v>
      </c>
      <c r="V7" s="29">
        <f t="shared" si="3"/>
        <v>68.333333333333329</v>
      </c>
      <c r="W7" s="29">
        <f t="shared" si="3"/>
        <v>9.6666666666666661</v>
      </c>
      <c r="X7" s="29">
        <f t="shared" si="3"/>
        <v>43.333333333333336</v>
      </c>
      <c r="Y7" s="29">
        <f t="shared" si="3"/>
        <v>15</v>
      </c>
      <c r="Z7" s="29">
        <f t="shared" si="3"/>
        <v>14.666666666666666</v>
      </c>
      <c r="AA7" s="29">
        <f t="shared" si="3"/>
        <v>15</v>
      </c>
      <c r="AB7" s="29">
        <f t="shared" si="3"/>
        <v>14.333333333333334</v>
      </c>
      <c r="AC7" s="29">
        <f t="shared" si="3"/>
        <v>15.666666666666666</v>
      </c>
      <c r="AD7" s="29">
        <f t="shared" si="3"/>
        <v>8.6666666666666661</v>
      </c>
      <c r="AE7" s="29">
        <f t="shared" si="3"/>
        <v>8</v>
      </c>
      <c r="AG7" s="155" t="s">
        <v>6</v>
      </c>
      <c r="AH7" s="120">
        <f>AVERAGE(AH4:AH6)</f>
        <v>676.20666666666659</v>
      </c>
      <c r="AI7" s="121">
        <f>AVERAGE(AI4:AI6)</f>
        <v>22.540222222222223</v>
      </c>
      <c r="AJ7" s="122">
        <v>18</v>
      </c>
      <c r="AK7" s="179">
        <f t="shared" si="0"/>
        <v>-10</v>
      </c>
      <c r="AL7" s="141">
        <f>AI7-AJ7</f>
        <v>4.5402222222222228</v>
      </c>
      <c r="AM7" s="132">
        <f>SUM(AM4:AM6)</f>
        <v>2028.62</v>
      </c>
      <c r="AN7" s="132">
        <f>SUM(AN4:AN6)</f>
        <v>1909</v>
      </c>
      <c r="AO7" s="144">
        <f>AM7-AN7</f>
        <v>119.61999999999989</v>
      </c>
      <c r="AP7" s="164">
        <f>'Mars 25'!AQ7+'Avril 25 '!AM7</f>
        <v>10609.66</v>
      </c>
      <c r="AQ7" s="165">
        <f>'Mars 25'!AR7+'Avril 25 '!AN7</f>
        <v>5318</v>
      </c>
      <c r="AR7" s="138">
        <f t="shared" si="2"/>
        <v>5291.66</v>
      </c>
    </row>
    <row r="8" spans="1:47" ht="24" customHeight="1" thickTop="1" thickBot="1" x14ac:dyDescent="0.4">
      <c r="A8" s="33" t="s">
        <v>3</v>
      </c>
      <c r="B8" s="95">
        <v>0</v>
      </c>
      <c r="C8" s="26">
        <v>0</v>
      </c>
      <c r="D8" s="26">
        <v>0</v>
      </c>
      <c r="E8" s="26">
        <v>0</v>
      </c>
      <c r="F8" s="26">
        <v>74</v>
      </c>
      <c r="G8" s="172">
        <v>23</v>
      </c>
      <c r="H8" s="26">
        <v>3</v>
      </c>
      <c r="I8" s="26">
        <v>16</v>
      </c>
      <c r="J8" s="172">
        <v>71</v>
      </c>
      <c r="K8" s="26">
        <v>23</v>
      </c>
      <c r="L8" s="26">
        <v>11</v>
      </c>
      <c r="M8" s="26">
        <v>97</v>
      </c>
      <c r="N8" s="26">
        <v>0</v>
      </c>
      <c r="O8" s="26">
        <v>21</v>
      </c>
      <c r="P8" s="26">
        <v>15</v>
      </c>
      <c r="Q8" s="26">
        <v>82</v>
      </c>
      <c r="R8" s="26">
        <v>41</v>
      </c>
      <c r="S8" s="26">
        <v>8</v>
      </c>
      <c r="T8" s="26">
        <v>0</v>
      </c>
      <c r="U8" s="26">
        <v>9</v>
      </c>
      <c r="V8" s="26">
        <v>8</v>
      </c>
      <c r="W8" s="26">
        <v>0</v>
      </c>
      <c r="X8" s="26">
        <v>8</v>
      </c>
      <c r="Y8" s="26">
        <v>0</v>
      </c>
      <c r="Z8" s="26">
        <v>0</v>
      </c>
      <c r="AA8" s="26">
        <v>4</v>
      </c>
      <c r="AB8" s="26">
        <v>0</v>
      </c>
      <c r="AC8" s="26">
        <v>29</v>
      </c>
      <c r="AD8" s="25">
        <v>30</v>
      </c>
      <c r="AE8" s="50">
        <v>4</v>
      </c>
      <c r="AG8" s="161" t="s">
        <v>3</v>
      </c>
      <c r="AH8" s="170">
        <f>SUM(B8:AE8)</f>
        <v>577</v>
      </c>
      <c r="AI8" s="157">
        <f>AVERAGE(B8:AE8)</f>
        <v>19.233333333333334</v>
      </c>
      <c r="AJ8" s="5">
        <v>18</v>
      </c>
      <c r="AK8" s="15">
        <f t="shared" si="0"/>
        <v>-14</v>
      </c>
      <c r="AL8" s="160">
        <f>AI8-AJ8</f>
        <v>1.2333333333333343</v>
      </c>
      <c r="AM8" s="158">
        <f>AH8</f>
        <v>577</v>
      </c>
      <c r="AN8" s="5">
        <v>110</v>
      </c>
      <c r="AO8" s="171">
        <f>AM8-AN8</f>
        <v>467</v>
      </c>
      <c r="AP8" s="158">
        <f>'Mars 25'!AQ8+'Avril 25 '!AM8</f>
        <v>2051.1</v>
      </c>
      <c r="AQ8" s="5">
        <f>'Mars 25'!AR8+'Avril 25 '!AN8</f>
        <v>827</v>
      </c>
      <c r="AR8" s="169">
        <f t="shared" si="2"/>
        <v>1224.0999999999999</v>
      </c>
    </row>
    <row r="9" spans="1:47" ht="24" customHeight="1" thickBot="1" x14ac:dyDescent="0.4">
      <c r="A9" s="36" t="s">
        <v>4</v>
      </c>
      <c r="B9" s="96">
        <v>5</v>
      </c>
      <c r="C9" s="6">
        <v>0</v>
      </c>
      <c r="D9" s="6">
        <v>0</v>
      </c>
      <c r="E9" s="6">
        <v>0</v>
      </c>
      <c r="F9" s="6">
        <v>15</v>
      </c>
      <c r="G9" s="6">
        <v>4</v>
      </c>
      <c r="H9" s="6">
        <v>10</v>
      </c>
      <c r="I9" s="6">
        <v>20</v>
      </c>
      <c r="J9" s="6">
        <v>0</v>
      </c>
      <c r="K9" s="6">
        <v>0</v>
      </c>
      <c r="L9" s="6">
        <v>85</v>
      </c>
      <c r="M9" s="6">
        <v>20</v>
      </c>
      <c r="N9" s="6">
        <v>9</v>
      </c>
      <c r="O9" s="6">
        <v>25</v>
      </c>
      <c r="P9" s="6">
        <v>32</v>
      </c>
      <c r="Q9" s="6">
        <v>33</v>
      </c>
      <c r="R9" s="6">
        <v>33</v>
      </c>
      <c r="S9" s="6">
        <v>18</v>
      </c>
      <c r="T9" s="6">
        <v>39</v>
      </c>
      <c r="U9" s="6">
        <v>0</v>
      </c>
      <c r="V9" s="6">
        <v>0</v>
      </c>
      <c r="W9" s="6">
        <v>0</v>
      </c>
      <c r="X9" s="6">
        <v>13</v>
      </c>
      <c r="Y9" s="6">
        <v>15</v>
      </c>
      <c r="Z9" s="6">
        <v>1</v>
      </c>
      <c r="AA9" s="6">
        <v>3</v>
      </c>
      <c r="AB9" s="6">
        <v>5</v>
      </c>
      <c r="AC9" s="6">
        <v>6</v>
      </c>
      <c r="AD9" s="5">
        <v>16</v>
      </c>
      <c r="AE9" s="13">
        <v>0</v>
      </c>
      <c r="AG9" s="161" t="s">
        <v>4</v>
      </c>
      <c r="AH9" s="156">
        <f>SUM(B9:AE9)</f>
        <v>407</v>
      </c>
      <c r="AI9" s="157">
        <f>AVERAGE(B9:AE9)</f>
        <v>13.566666666666666</v>
      </c>
      <c r="AJ9" s="5">
        <v>18</v>
      </c>
      <c r="AK9" s="15">
        <f t="shared" si="0"/>
        <v>-18</v>
      </c>
      <c r="AL9" s="15">
        <f t="shared" ref="AL9" si="4">AI9-AJ9</f>
        <v>-4.4333333333333336</v>
      </c>
      <c r="AM9" s="5">
        <f>AH9</f>
        <v>407</v>
      </c>
      <c r="AN9" s="5">
        <v>427</v>
      </c>
      <c r="AO9" s="178">
        <f>AM9-AN9</f>
        <v>-20</v>
      </c>
      <c r="AP9" s="158">
        <f>'Mars 25'!AQ9+'Avril 25 '!AM9</f>
        <v>2470</v>
      </c>
      <c r="AQ9" s="5">
        <f>'Mars 25'!AR9+'Avril 25 '!AN9</f>
        <v>1978</v>
      </c>
      <c r="AR9" s="169">
        <f t="shared" si="2"/>
        <v>492</v>
      </c>
    </row>
    <row r="10" spans="1:47" ht="24" customHeight="1" thickBot="1" x14ac:dyDescent="0.4">
      <c r="A10" s="36" t="s">
        <v>5</v>
      </c>
      <c r="B10" s="97">
        <v>360</v>
      </c>
      <c r="C10" s="6">
        <v>0</v>
      </c>
      <c r="D10" s="6">
        <v>0</v>
      </c>
      <c r="E10" s="6">
        <v>0</v>
      </c>
      <c r="F10" s="6">
        <v>0</v>
      </c>
      <c r="G10" s="6">
        <v>9</v>
      </c>
      <c r="H10" s="6">
        <v>8</v>
      </c>
      <c r="I10" s="6">
        <v>19</v>
      </c>
      <c r="J10" s="6">
        <v>33</v>
      </c>
      <c r="K10" s="6">
        <v>20</v>
      </c>
      <c r="L10" s="6">
        <v>0</v>
      </c>
      <c r="M10" s="6">
        <v>40</v>
      </c>
      <c r="N10" s="6">
        <v>0</v>
      </c>
      <c r="O10" s="6">
        <v>4</v>
      </c>
      <c r="P10" s="6">
        <v>0</v>
      </c>
      <c r="Q10" s="6">
        <v>25</v>
      </c>
      <c r="R10" s="6">
        <v>0</v>
      </c>
      <c r="S10" s="6">
        <v>64</v>
      </c>
      <c r="T10" s="6">
        <v>14</v>
      </c>
      <c r="U10" s="6">
        <v>225</v>
      </c>
      <c r="V10" s="6">
        <v>0</v>
      </c>
      <c r="W10" s="6">
        <v>60</v>
      </c>
      <c r="X10" s="6">
        <v>25</v>
      </c>
      <c r="Y10" s="6">
        <v>34</v>
      </c>
      <c r="Z10" s="6">
        <v>27</v>
      </c>
      <c r="AA10" s="6">
        <v>4</v>
      </c>
      <c r="AB10" s="6">
        <v>19</v>
      </c>
      <c r="AC10" s="6">
        <v>16</v>
      </c>
      <c r="AD10" s="5">
        <v>15</v>
      </c>
      <c r="AE10" s="13">
        <v>18</v>
      </c>
      <c r="AG10" s="161" t="s">
        <v>5</v>
      </c>
      <c r="AH10" s="156">
        <f>SUM(B10:AE10)</f>
        <v>1039</v>
      </c>
      <c r="AI10" s="157">
        <f>AVERAGE(B10:AE10)</f>
        <v>34.633333333333333</v>
      </c>
      <c r="AJ10" s="5">
        <v>18</v>
      </c>
      <c r="AK10" s="15">
        <f t="shared" si="0"/>
        <v>0</v>
      </c>
      <c r="AL10" s="160">
        <f>AI10-AJ10</f>
        <v>16.633333333333333</v>
      </c>
      <c r="AM10" s="5">
        <f>AH10</f>
        <v>1039</v>
      </c>
      <c r="AN10" s="5">
        <v>440</v>
      </c>
      <c r="AO10" s="159">
        <f t="shared" ref="AO10" si="5">AM10-AN10</f>
        <v>599</v>
      </c>
      <c r="AP10" s="158">
        <f>'Mars 25'!AQ10+'Avril 25 '!AM10</f>
        <v>1831</v>
      </c>
      <c r="AQ10" s="5">
        <f>'Mars 25'!AR10+'Avril 25 '!AN10</f>
        <v>1036</v>
      </c>
      <c r="AR10" s="169">
        <f t="shared" si="2"/>
        <v>795</v>
      </c>
    </row>
    <row r="11" spans="1:47" ht="24" customHeight="1" thickBot="1" x14ac:dyDescent="0.4">
      <c r="A11" s="37" t="s">
        <v>7</v>
      </c>
      <c r="B11" s="38">
        <f t="shared" ref="B11:AE11" si="6">AVERAGE(B8:B10)</f>
        <v>121.66666666666667</v>
      </c>
      <c r="C11" s="38">
        <f t="shared" si="6"/>
        <v>0</v>
      </c>
      <c r="D11" s="38">
        <f t="shared" si="6"/>
        <v>0</v>
      </c>
      <c r="E11" s="38">
        <f t="shared" si="6"/>
        <v>0</v>
      </c>
      <c r="F11" s="38">
        <f t="shared" si="6"/>
        <v>29.666666666666668</v>
      </c>
      <c r="G11" s="38">
        <f t="shared" si="6"/>
        <v>12</v>
      </c>
      <c r="H11" s="38">
        <f t="shared" si="6"/>
        <v>7</v>
      </c>
      <c r="I11" s="38">
        <f t="shared" si="6"/>
        <v>18.333333333333332</v>
      </c>
      <c r="J11" s="38">
        <f t="shared" si="6"/>
        <v>34.666666666666664</v>
      </c>
      <c r="K11" s="38">
        <f t="shared" si="6"/>
        <v>14.333333333333334</v>
      </c>
      <c r="L11" s="38">
        <f t="shared" si="6"/>
        <v>32</v>
      </c>
      <c r="M11" s="38">
        <f t="shared" si="6"/>
        <v>52.333333333333336</v>
      </c>
      <c r="N11" s="38">
        <f t="shared" si="6"/>
        <v>3</v>
      </c>
      <c r="O11" s="38">
        <f t="shared" si="6"/>
        <v>16.666666666666668</v>
      </c>
      <c r="P11" s="38">
        <f t="shared" si="6"/>
        <v>15.666666666666666</v>
      </c>
      <c r="Q11" s="38">
        <f t="shared" si="6"/>
        <v>46.666666666666664</v>
      </c>
      <c r="R11" s="38">
        <f t="shared" si="6"/>
        <v>24.666666666666668</v>
      </c>
      <c r="S11" s="38">
        <f t="shared" si="6"/>
        <v>30</v>
      </c>
      <c r="T11" s="38">
        <f t="shared" si="6"/>
        <v>17.666666666666668</v>
      </c>
      <c r="U11" s="38">
        <f t="shared" si="6"/>
        <v>78</v>
      </c>
      <c r="V11" s="128">
        <f t="shared" si="6"/>
        <v>2.6666666666666665</v>
      </c>
      <c r="W11" s="128">
        <f t="shared" si="6"/>
        <v>20</v>
      </c>
      <c r="X11" s="128">
        <f t="shared" si="6"/>
        <v>15.333333333333334</v>
      </c>
      <c r="Y11" s="128">
        <f t="shared" si="6"/>
        <v>16.333333333333332</v>
      </c>
      <c r="Z11" s="128">
        <f t="shared" si="6"/>
        <v>9.3333333333333339</v>
      </c>
      <c r="AA11" s="128">
        <f t="shared" si="6"/>
        <v>3.6666666666666665</v>
      </c>
      <c r="AB11" s="128">
        <f t="shared" si="6"/>
        <v>8</v>
      </c>
      <c r="AC11" s="128">
        <f t="shared" si="6"/>
        <v>17</v>
      </c>
      <c r="AD11" s="128">
        <f t="shared" si="6"/>
        <v>20.333333333333332</v>
      </c>
      <c r="AE11" s="128">
        <f t="shared" si="6"/>
        <v>7.333333333333333</v>
      </c>
      <c r="AG11" s="161" t="s">
        <v>7</v>
      </c>
      <c r="AH11" s="123">
        <f>AVERAGE(AH8:AH10)</f>
        <v>674.33333333333337</v>
      </c>
      <c r="AI11" s="124">
        <f>AVERAGE(AI8:AI10)</f>
        <v>22.477777777777778</v>
      </c>
      <c r="AJ11" s="125">
        <v>18</v>
      </c>
      <c r="AK11" s="180">
        <f t="shared" si="0"/>
        <v>-10.666666666666668</v>
      </c>
      <c r="AL11" s="174">
        <f>AI11-AJ11</f>
        <v>4.4777777777777779</v>
      </c>
      <c r="AM11" s="136">
        <f>SUM(AM8:AM10)</f>
        <v>2023</v>
      </c>
      <c r="AN11" s="136">
        <f>SUM(AN8:AN10)</f>
        <v>977</v>
      </c>
      <c r="AO11" s="173">
        <f>AM11-AN11</f>
        <v>1046</v>
      </c>
      <c r="AP11" s="166">
        <f>'Mars 25'!AQ11+'Avril 25 '!AM11</f>
        <v>6352.1</v>
      </c>
      <c r="AQ11" s="167">
        <f>'Mars 25'!AR11+'Avril 25 '!AN11</f>
        <v>3841</v>
      </c>
      <c r="AR11" s="146">
        <f>AP11-AQ11</f>
        <v>2511.1000000000004</v>
      </c>
    </row>
    <row r="12" spans="1:47" ht="9.5" customHeight="1" thickTop="1" thickBot="1" x14ac:dyDescent="0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I12" s="4"/>
      <c r="AJ12" s="7"/>
      <c r="AK12" s="16"/>
      <c r="AL12" s="8"/>
      <c r="AM12" s="10"/>
    </row>
    <row r="13" spans="1:47" ht="59" customHeight="1" thickTop="1" thickBot="1" x14ac:dyDescent="0.4">
      <c r="A13" s="42" t="s">
        <v>8</v>
      </c>
      <c r="B13" s="43">
        <f t="shared" ref="B13:AE13" si="7">AVERAGE(B11,B7)</f>
        <v>65.166666666666671</v>
      </c>
      <c r="C13" s="43">
        <f t="shared" si="7"/>
        <v>3</v>
      </c>
      <c r="D13" s="43">
        <f t="shared" si="7"/>
        <v>69.666666666666671</v>
      </c>
      <c r="E13" s="43">
        <f t="shared" si="7"/>
        <v>5.9366666666666674</v>
      </c>
      <c r="F13" s="43">
        <f t="shared" si="7"/>
        <v>24.833333333333336</v>
      </c>
      <c r="G13" s="43">
        <f t="shared" si="7"/>
        <v>17.833333333333336</v>
      </c>
      <c r="H13" s="43">
        <f t="shared" si="7"/>
        <v>24.333333333333332</v>
      </c>
      <c r="I13" s="43">
        <f t="shared" si="7"/>
        <v>17.333333333333332</v>
      </c>
      <c r="J13" s="43">
        <f t="shared" si="7"/>
        <v>28.166666666666664</v>
      </c>
      <c r="K13" s="43">
        <f t="shared" si="7"/>
        <v>19.333333333333332</v>
      </c>
      <c r="L13" s="43">
        <f t="shared" si="7"/>
        <v>21</v>
      </c>
      <c r="M13" s="43">
        <f t="shared" si="7"/>
        <v>30.666666666666668</v>
      </c>
      <c r="N13" s="43">
        <f t="shared" si="7"/>
        <v>2.833333333333333</v>
      </c>
      <c r="O13" s="43">
        <f t="shared" si="7"/>
        <v>12.166666666666668</v>
      </c>
      <c r="P13" s="43">
        <f t="shared" si="7"/>
        <v>24.666666666666664</v>
      </c>
      <c r="Q13" s="43">
        <f t="shared" si="7"/>
        <v>27.333333333333332</v>
      </c>
      <c r="R13" s="43">
        <f t="shared" si="7"/>
        <v>26.5</v>
      </c>
      <c r="S13" s="43">
        <f t="shared" si="7"/>
        <v>27</v>
      </c>
      <c r="T13" s="43">
        <f t="shared" si="7"/>
        <v>17.333333333333336</v>
      </c>
      <c r="U13" s="43">
        <f t="shared" si="7"/>
        <v>43.833333333333336</v>
      </c>
      <c r="V13" s="43">
        <f t="shared" si="7"/>
        <v>35.5</v>
      </c>
      <c r="W13" s="43">
        <f t="shared" si="7"/>
        <v>14.833333333333332</v>
      </c>
      <c r="X13" s="43">
        <f t="shared" si="7"/>
        <v>29.333333333333336</v>
      </c>
      <c r="Y13" s="43">
        <f t="shared" si="7"/>
        <v>15.666666666666666</v>
      </c>
      <c r="Z13" s="43">
        <f t="shared" si="7"/>
        <v>12</v>
      </c>
      <c r="AA13" s="43">
        <f t="shared" si="7"/>
        <v>9.3333333333333339</v>
      </c>
      <c r="AB13" s="43">
        <f t="shared" si="7"/>
        <v>11.166666666666668</v>
      </c>
      <c r="AC13" s="43">
        <f t="shared" si="7"/>
        <v>16.333333333333332</v>
      </c>
      <c r="AD13" s="43">
        <f t="shared" si="7"/>
        <v>14.5</v>
      </c>
      <c r="AE13" s="43">
        <f t="shared" si="7"/>
        <v>7.6666666666666661</v>
      </c>
      <c r="AG13" s="85" t="s">
        <v>8</v>
      </c>
      <c r="AH13" s="86">
        <f>AVERAGE(AH11,AH7)</f>
        <v>675.27</v>
      </c>
      <c r="AI13" s="86">
        <f>AVERAGE(AI11,AI7)</f>
        <v>22.509</v>
      </c>
      <c r="AJ13" s="87">
        <v>18</v>
      </c>
      <c r="AK13" s="88">
        <f>AE13-AJ13</f>
        <v>-10.333333333333334</v>
      </c>
      <c r="AL13" s="89">
        <f>AI13-AJ13</f>
        <v>4.5090000000000003</v>
      </c>
      <c r="AM13" s="87">
        <f>SUM(AM7,AM11)</f>
        <v>4051.62</v>
      </c>
      <c r="AN13" s="90">
        <f>SUM(AN7,AN11)</f>
        <v>2886</v>
      </c>
      <c r="AO13" s="152">
        <f>AM13-AN13</f>
        <v>1165.6199999999999</v>
      </c>
      <c r="AP13" s="154">
        <f>SUM(AP11,AP7)</f>
        <v>16961.760000000002</v>
      </c>
      <c r="AQ13" s="154">
        <f>SUM(AQ11,AQ7)</f>
        <v>9159</v>
      </c>
      <c r="AR13" s="152">
        <f>AP13-AQ13</f>
        <v>7802.760000000002</v>
      </c>
    </row>
    <row r="14" spans="1:47" ht="15" thickTop="1" x14ac:dyDescent="0.35"/>
    <row r="15" spans="1:47" ht="21" x14ac:dyDescent="0.5">
      <c r="A15" s="176"/>
      <c r="B15" s="176"/>
      <c r="C15" s="176"/>
      <c r="D15" s="176"/>
      <c r="E15" s="176"/>
      <c r="F15" s="176"/>
      <c r="G15" s="176"/>
      <c r="H15" s="176"/>
    </row>
    <row r="16" spans="1:47" ht="23.5" x14ac:dyDescent="0.35">
      <c r="A16" s="177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</row>
    <row r="17" spans="1:21" ht="23.5" x14ac:dyDescent="0.35">
      <c r="A17" s="177"/>
      <c r="B17" s="177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</row>
    <row r="18" spans="1:21" ht="23.5" x14ac:dyDescent="0.35">
      <c r="A18" s="177"/>
      <c r="B18" s="177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</row>
  </sheetData>
  <mergeCells count="1">
    <mergeCell ref="A1:AR1"/>
  </mergeCells>
  <printOptions horizontalCentered="1" verticalCentered="1"/>
  <pageMargins left="0" right="0" top="0" bottom="0" header="0" footer="0"/>
  <pageSetup paperSize="9" scale="9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4"/>
  <sheetViews>
    <sheetView topLeftCell="M3" zoomScale="80" zoomScaleNormal="80" workbookViewId="0">
      <selection activeCell="AR13" sqref="AR13"/>
    </sheetView>
  </sheetViews>
  <sheetFormatPr baseColWidth="10" defaultRowHeight="14.5" x14ac:dyDescent="0.35"/>
  <cols>
    <col min="1" max="1" width="8.7265625" customWidth="1"/>
    <col min="2" max="32" width="3.90625" customWidth="1"/>
    <col min="33" max="33" width="2.26953125" customWidth="1"/>
    <col min="34" max="34" width="6.1796875" customWidth="1"/>
    <col min="35" max="42" width="9.1796875" customWidth="1"/>
  </cols>
  <sheetData>
    <row r="1" spans="1:48" ht="23.5" x14ac:dyDescent="0.35">
      <c r="A1" s="201" t="s">
        <v>25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202"/>
      <c r="AL1" s="202"/>
      <c r="AM1" s="202"/>
      <c r="AN1" s="202"/>
      <c r="AO1" s="202"/>
      <c r="AP1" s="202"/>
      <c r="AQ1" s="202"/>
      <c r="AR1" s="202"/>
      <c r="AS1" s="202"/>
    </row>
    <row r="2" spans="1:48" ht="9.5" customHeight="1" thickBot="1" x14ac:dyDescent="0.4"/>
    <row r="3" spans="1:48" ht="69.5" customHeight="1" thickTop="1" thickBot="1" x14ac:dyDescent="0.4">
      <c r="A3" s="1"/>
      <c r="B3" s="20">
        <v>45717</v>
      </c>
      <c r="C3" s="20">
        <v>45718</v>
      </c>
      <c r="D3" s="20">
        <v>45719</v>
      </c>
      <c r="E3" s="20">
        <v>45720</v>
      </c>
      <c r="F3" s="20">
        <v>45721</v>
      </c>
      <c r="G3" s="20">
        <v>45722</v>
      </c>
      <c r="H3" s="20">
        <v>45723</v>
      </c>
      <c r="I3" s="20">
        <v>45724</v>
      </c>
      <c r="J3" s="20">
        <v>45725</v>
      </c>
      <c r="K3" s="20">
        <v>45726</v>
      </c>
      <c r="L3" s="20">
        <v>45727</v>
      </c>
      <c r="M3" s="20">
        <v>45728</v>
      </c>
      <c r="N3" s="20">
        <v>45729</v>
      </c>
      <c r="O3" s="20">
        <v>45730</v>
      </c>
      <c r="P3" s="20">
        <v>45731</v>
      </c>
      <c r="Q3" s="20">
        <v>45732</v>
      </c>
      <c r="R3" s="20">
        <v>45733</v>
      </c>
      <c r="S3" s="20">
        <v>45734</v>
      </c>
      <c r="T3" s="20">
        <v>45735</v>
      </c>
      <c r="U3" s="20">
        <v>45736</v>
      </c>
      <c r="V3" s="20">
        <v>45737</v>
      </c>
      <c r="W3" s="20">
        <v>45738</v>
      </c>
      <c r="X3" s="20">
        <v>45739</v>
      </c>
      <c r="Y3" s="20">
        <v>45740</v>
      </c>
      <c r="Z3" s="20">
        <v>45741</v>
      </c>
      <c r="AA3" s="20">
        <v>45742</v>
      </c>
      <c r="AB3" s="20">
        <v>45743</v>
      </c>
      <c r="AC3" s="20">
        <v>45744</v>
      </c>
      <c r="AD3" s="20">
        <v>45745</v>
      </c>
      <c r="AE3" s="20">
        <v>45746</v>
      </c>
      <c r="AF3" s="20">
        <v>45747</v>
      </c>
      <c r="AG3" s="3"/>
      <c r="AI3" s="104" t="s">
        <v>9</v>
      </c>
      <c r="AJ3" s="105" t="s">
        <v>10</v>
      </c>
      <c r="AK3" s="105" t="s">
        <v>17</v>
      </c>
      <c r="AL3" s="106" t="s">
        <v>11</v>
      </c>
      <c r="AM3" s="106" t="s">
        <v>12</v>
      </c>
      <c r="AN3" s="107" t="s">
        <v>26</v>
      </c>
      <c r="AO3" s="107" t="s">
        <v>27</v>
      </c>
      <c r="AP3" s="106" t="s">
        <v>16</v>
      </c>
      <c r="AQ3" s="162" t="s">
        <v>21</v>
      </c>
      <c r="AR3" s="162" t="s">
        <v>22</v>
      </c>
      <c r="AS3" s="163" t="s">
        <v>16</v>
      </c>
      <c r="AT3" s="153"/>
      <c r="AU3" s="153"/>
      <c r="AV3" s="153"/>
    </row>
    <row r="4" spans="1:48" ht="24" customHeight="1" thickTop="1" thickBot="1" x14ac:dyDescent="0.4">
      <c r="A4" s="23" t="s">
        <v>0</v>
      </c>
      <c r="B4" s="24">
        <v>41</v>
      </c>
      <c r="C4" s="25">
        <v>0</v>
      </c>
      <c r="D4" s="26">
        <v>3</v>
      </c>
      <c r="E4" s="26">
        <v>20</v>
      </c>
      <c r="F4" s="26">
        <v>0</v>
      </c>
      <c r="G4" s="172">
        <v>8.57</v>
      </c>
      <c r="H4" s="26">
        <v>0</v>
      </c>
      <c r="I4" s="26">
        <v>11</v>
      </c>
      <c r="J4" s="172">
        <v>2.1</v>
      </c>
      <c r="K4" s="172">
        <v>2.5</v>
      </c>
      <c r="L4" s="26">
        <v>61</v>
      </c>
      <c r="M4" s="26">
        <v>2</v>
      </c>
      <c r="N4" s="26">
        <v>14</v>
      </c>
      <c r="O4" s="26">
        <v>4</v>
      </c>
      <c r="P4" s="26">
        <v>122</v>
      </c>
      <c r="Q4" s="26">
        <v>13</v>
      </c>
      <c r="R4" s="26">
        <v>9</v>
      </c>
      <c r="S4" s="26">
        <v>35</v>
      </c>
      <c r="T4" s="26">
        <v>9</v>
      </c>
      <c r="U4" s="26">
        <v>6</v>
      </c>
      <c r="V4" s="26">
        <v>0</v>
      </c>
      <c r="W4" s="26">
        <v>15</v>
      </c>
      <c r="X4" s="26">
        <v>3</v>
      </c>
      <c r="Y4" s="26">
        <v>14</v>
      </c>
      <c r="Z4" s="26">
        <v>10</v>
      </c>
      <c r="AA4" s="26">
        <v>22</v>
      </c>
      <c r="AB4" s="26">
        <v>8</v>
      </c>
      <c r="AC4" s="26">
        <v>13</v>
      </c>
      <c r="AD4" s="25">
        <v>4</v>
      </c>
      <c r="AE4" s="50">
        <v>15</v>
      </c>
      <c r="AF4" s="93">
        <v>24</v>
      </c>
      <c r="AH4" s="155" t="s">
        <v>0</v>
      </c>
      <c r="AI4" s="170">
        <f>SUM(B4:AF4)</f>
        <v>491.16999999999996</v>
      </c>
      <c r="AJ4" s="157">
        <f>AVERAGE(B4:AF4)</f>
        <v>15.844193548387095</v>
      </c>
      <c r="AK4" s="5">
        <v>18</v>
      </c>
      <c r="AL4" s="15">
        <f>AF4-AK4</f>
        <v>6</v>
      </c>
      <c r="AM4" s="15">
        <f>AJ4-AK4</f>
        <v>-2.1558064516129054</v>
      </c>
      <c r="AN4" s="158">
        <f>AI4</f>
        <v>491.16999999999996</v>
      </c>
      <c r="AO4" s="5">
        <v>384</v>
      </c>
      <c r="AP4" s="171">
        <f>AN4-AO4</f>
        <v>107.16999999999996</v>
      </c>
      <c r="AQ4" s="158">
        <f>AI4+'Février 25'!AN4</f>
        <v>2103.17</v>
      </c>
      <c r="AR4" s="5">
        <f>AO4+'Février 25'!AO4</f>
        <v>1273</v>
      </c>
      <c r="AS4" s="169">
        <f>AQ4-AR4</f>
        <v>830.17000000000007</v>
      </c>
    </row>
    <row r="5" spans="1:48" ht="24" customHeight="1" thickBot="1" x14ac:dyDescent="0.4">
      <c r="A5" s="27" t="s">
        <v>1</v>
      </c>
      <c r="B5" s="17">
        <v>2</v>
      </c>
      <c r="C5" s="5">
        <v>4</v>
      </c>
      <c r="D5" s="6">
        <v>4</v>
      </c>
      <c r="E5" s="6">
        <v>358</v>
      </c>
      <c r="F5" s="6">
        <v>2</v>
      </c>
      <c r="G5" s="6">
        <v>29</v>
      </c>
      <c r="H5" s="6">
        <v>0</v>
      </c>
      <c r="I5" s="6">
        <v>19</v>
      </c>
      <c r="J5" s="6">
        <v>5</v>
      </c>
      <c r="K5" s="6">
        <v>8</v>
      </c>
      <c r="L5" s="6">
        <v>0</v>
      </c>
      <c r="M5" s="6">
        <v>21</v>
      </c>
      <c r="N5" s="6">
        <v>0</v>
      </c>
      <c r="O5" s="6">
        <v>828</v>
      </c>
      <c r="P5" s="6">
        <v>111</v>
      </c>
      <c r="Q5" s="6">
        <v>0</v>
      </c>
      <c r="R5" s="6">
        <v>9</v>
      </c>
      <c r="S5" s="6">
        <v>50</v>
      </c>
      <c r="T5" s="6">
        <v>0</v>
      </c>
      <c r="U5" s="6">
        <v>0</v>
      </c>
      <c r="V5" s="6">
        <v>0</v>
      </c>
      <c r="W5" s="6">
        <v>2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5">
        <v>2</v>
      </c>
      <c r="AE5" s="13">
        <v>24</v>
      </c>
      <c r="AF5" s="94">
        <v>41</v>
      </c>
      <c r="AH5" s="155" t="s">
        <v>1</v>
      </c>
      <c r="AI5" s="156">
        <f>SUM(B5:AF5)</f>
        <v>1519</v>
      </c>
      <c r="AJ5" s="157">
        <f>AVERAGE(B5:AF5)</f>
        <v>49</v>
      </c>
      <c r="AK5" s="5">
        <v>18</v>
      </c>
      <c r="AL5" s="160">
        <f t="shared" ref="AL5:AL6" si="0">AF5-AK5</f>
        <v>23</v>
      </c>
      <c r="AM5" s="160">
        <f>AJ5-AK5</f>
        <v>31</v>
      </c>
      <c r="AN5" s="5">
        <f>AI5</f>
        <v>1519</v>
      </c>
      <c r="AO5" s="5">
        <v>411</v>
      </c>
      <c r="AP5" s="159">
        <f t="shared" ref="AP5:AP6" si="1">AN5-AO5</f>
        <v>1108</v>
      </c>
      <c r="AQ5" s="158">
        <f>AI5+'Février 25'!AN5</f>
        <v>3780</v>
      </c>
      <c r="AR5" s="5">
        <f>AO5+'Février 25'!AO5</f>
        <v>1431</v>
      </c>
      <c r="AS5" s="169">
        <f t="shared" ref="AS5:AS10" si="2">AQ5-AR5</f>
        <v>2349</v>
      </c>
    </row>
    <row r="6" spans="1:48" ht="24" customHeight="1" thickBot="1" x14ac:dyDescent="0.4">
      <c r="A6" s="27" t="s">
        <v>2</v>
      </c>
      <c r="B6" s="17">
        <v>35</v>
      </c>
      <c r="C6" s="5">
        <v>193</v>
      </c>
      <c r="D6" s="6">
        <v>19</v>
      </c>
      <c r="E6" s="6">
        <v>11.87</v>
      </c>
      <c r="F6" s="6">
        <v>19</v>
      </c>
      <c r="G6" s="6">
        <v>18</v>
      </c>
      <c r="H6" s="6">
        <v>69</v>
      </c>
      <c r="I6" s="6">
        <v>78.5</v>
      </c>
      <c r="J6" s="6">
        <v>46.5</v>
      </c>
      <c r="K6" s="6">
        <v>14.5</v>
      </c>
      <c r="L6" s="6">
        <v>3</v>
      </c>
      <c r="M6" s="6">
        <v>9</v>
      </c>
      <c r="N6" s="6">
        <v>23</v>
      </c>
      <c r="O6" s="6">
        <v>17</v>
      </c>
      <c r="P6" s="6">
        <v>15</v>
      </c>
      <c r="Q6" s="6">
        <v>14</v>
      </c>
      <c r="R6" s="6">
        <v>17</v>
      </c>
      <c r="S6" s="6">
        <v>17</v>
      </c>
      <c r="T6" s="6">
        <v>18</v>
      </c>
      <c r="U6" s="6">
        <v>0</v>
      </c>
      <c r="V6" s="6">
        <v>19</v>
      </c>
      <c r="W6" s="6">
        <v>18</v>
      </c>
      <c r="X6" s="6">
        <v>16</v>
      </c>
      <c r="Y6" s="6">
        <v>17</v>
      </c>
      <c r="Z6" s="6">
        <v>8</v>
      </c>
      <c r="AA6" s="6">
        <v>4</v>
      </c>
      <c r="AB6" s="6">
        <v>249</v>
      </c>
      <c r="AC6" s="6">
        <v>21</v>
      </c>
      <c r="AD6" s="5">
        <v>21</v>
      </c>
      <c r="AE6" s="13">
        <v>9</v>
      </c>
      <c r="AF6" s="94">
        <v>17</v>
      </c>
      <c r="AH6" s="155" t="s">
        <v>2</v>
      </c>
      <c r="AI6" s="170">
        <f>SUM(B6:AF6)</f>
        <v>1036.3699999999999</v>
      </c>
      <c r="AJ6" s="157">
        <f>AVERAGE(B6:AF6)</f>
        <v>33.431290322580644</v>
      </c>
      <c r="AK6" s="5">
        <v>18</v>
      </c>
      <c r="AL6" s="15">
        <f t="shared" si="0"/>
        <v>-1</v>
      </c>
      <c r="AM6" s="160">
        <f>AJ6-AK6</f>
        <v>15.431290322580644</v>
      </c>
      <c r="AN6" s="158">
        <f>AI6</f>
        <v>1036.3699999999999</v>
      </c>
      <c r="AO6" s="5">
        <v>174</v>
      </c>
      <c r="AP6" s="171">
        <f t="shared" si="1"/>
        <v>862.36999999999989</v>
      </c>
      <c r="AQ6" s="158">
        <f>AI6+'Février 25'!AN6</f>
        <v>2697.87</v>
      </c>
      <c r="AR6" s="5">
        <f>AO6+'Février 25'!AO6</f>
        <v>705</v>
      </c>
      <c r="AS6" s="169">
        <f t="shared" si="2"/>
        <v>1992.87</v>
      </c>
    </row>
    <row r="7" spans="1:48" ht="29" customHeight="1" thickBot="1" x14ac:dyDescent="0.4">
      <c r="A7" s="28" t="s">
        <v>13</v>
      </c>
      <c r="B7" s="29">
        <f t="shared" ref="B7:I7" si="3">AVERAGE(B4:B6)</f>
        <v>26</v>
      </c>
      <c r="C7" s="29">
        <f t="shared" si="3"/>
        <v>65.666666666666671</v>
      </c>
      <c r="D7" s="29">
        <f t="shared" si="3"/>
        <v>8.6666666666666661</v>
      </c>
      <c r="E7" s="29">
        <f t="shared" si="3"/>
        <v>129.95666666666668</v>
      </c>
      <c r="F7" s="29">
        <f t="shared" si="3"/>
        <v>7</v>
      </c>
      <c r="G7" s="29">
        <f t="shared" si="3"/>
        <v>18.523333333333333</v>
      </c>
      <c r="H7" s="29">
        <f t="shared" si="3"/>
        <v>23</v>
      </c>
      <c r="I7" s="29">
        <f t="shared" si="3"/>
        <v>36.166666666666664</v>
      </c>
      <c r="J7" s="29">
        <f>AVERAGE(J4:J6)</f>
        <v>17.866666666666667</v>
      </c>
      <c r="K7" s="29">
        <f>AVERAGE(K4:K6)</f>
        <v>8.3333333333333339</v>
      </c>
      <c r="L7" s="29">
        <f>AVERAGE(L4:L6)</f>
        <v>21.333333333333332</v>
      </c>
      <c r="M7" s="29">
        <f>AVERAGE(M4:M6)</f>
        <v>10.666666666666666</v>
      </c>
      <c r="N7" s="29">
        <f>AVERAGE(N4:N6)</f>
        <v>12.333333333333334</v>
      </c>
      <c r="O7" s="29">
        <f t="shared" ref="O7:AF7" si="4">AVERAGE(O4:O6)</f>
        <v>283</v>
      </c>
      <c r="P7" s="29">
        <f t="shared" si="4"/>
        <v>82.666666666666671</v>
      </c>
      <c r="Q7" s="29">
        <f t="shared" si="4"/>
        <v>9</v>
      </c>
      <c r="R7" s="29">
        <f t="shared" si="4"/>
        <v>11.666666666666666</v>
      </c>
      <c r="S7" s="29">
        <f t="shared" si="4"/>
        <v>34</v>
      </c>
      <c r="T7" s="29">
        <f t="shared" si="4"/>
        <v>9</v>
      </c>
      <c r="U7" s="29">
        <f t="shared" si="4"/>
        <v>2</v>
      </c>
      <c r="V7" s="29">
        <f t="shared" si="4"/>
        <v>6.333333333333333</v>
      </c>
      <c r="W7" s="29">
        <f t="shared" si="4"/>
        <v>11.666666666666666</v>
      </c>
      <c r="X7" s="29">
        <f t="shared" si="4"/>
        <v>6.333333333333333</v>
      </c>
      <c r="Y7" s="29">
        <f t="shared" si="4"/>
        <v>10.333333333333334</v>
      </c>
      <c r="Z7" s="29">
        <f t="shared" si="4"/>
        <v>6</v>
      </c>
      <c r="AA7" s="29">
        <f t="shared" si="4"/>
        <v>8.6666666666666661</v>
      </c>
      <c r="AB7" s="29">
        <f t="shared" si="4"/>
        <v>85.666666666666671</v>
      </c>
      <c r="AC7" s="29">
        <f t="shared" si="4"/>
        <v>11.333333333333334</v>
      </c>
      <c r="AD7" s="29">
        <f t="shared" si="4"/>
        <v>9</v>
      </c>
      <c r="AE7" s="29">
        <f t="shared" si="4"/>
        <v>16</v>
      </c>
      <c r="AF7" s="29">
        <f t="shared" si="4"/>
        <v>27.333333333333332</v>
      </c>
      <c r="AH7" s="155" t="s">
        <v>6</v>
      </c>
      <c r="AI7" s="120">
        <f>AVERAGE(AI4:AI6)</f>
        <v>1015.5133333333333</v>
      </c>
      <c r="AJ7" s="121">
        <f>AVERAGE(AJ4:AJ6)</f>
        <v>32.758494623655913</v>
      </c>
      <c r="AK7" s="122">
        <v>18</v>
      </c>
      <c r="AL7" s="141">
        <f>AF7-AK7</f>
        <v>9.3333333333333321</v>
      </c>
      <c r="AM7" s="141">
        <f>AJ7-AK7</f>
        <v>14.758494623655913</v>
      </c>
      <c r="AN7" s="132">
        <f>SUM(AN4:AN6)</f>
        <v>3046.54</v>
      </c>
      <c r="AO7" s="122">
        <f>SUM(AO4:AO6)</f>
        <v>969</v>
      </c>
      <c r="AP7" s="144">
        <f>AN7-AO7</f>
        <v>2077.54</v>
      </c>
      <c r="AQ7" s="164">
        <f>SUM(AQ4:AQ6)</f>
        <v>8581.0400000000009</v>
      </c>
      <c r="AR7" s="165">
        <f>SUM(AR4:AR6)</f>
        <v>3409</v>
      </c>
      <c r="AS7" s="138">
        <f t="shared" si="2"/>
        <v>5172.0400000000009</v>
      </c>
    </row>
    <row r="8" spans="1:48" ht="24" customHeight="1" thickTop="1" thickBot="1" x14ac:dyDescent="0.4">
      <c r="A8" s="33" t="s">
        <v>3</v>
      </c>
      <c r="B8" s="95">
        <v>0</v>
      </c>
      <c r="C8" s="26">
        <v>8</v>
      </c>
      <c r="D8" s="26">
        <v>0</v>
      </c>
      <c r="E8" s="26">
        <v>11</v>
      </c>
      <c r="F8" s="26">
        <v>0</v>
      </c>
      <c r="G8" s="26">
        <v>0</v>
      </c>
      <c r="H8" s="26">
        <v>0</v>
      </c>
      <c r="I8" s="26">
        <v>0</v>
      </c>
      <c r="J8" s="172">
        <v>8.1</v>
      </c>
      <c r="K8" s="26">
        <v>0</v>
      </c>
      <c r="L8" s="26">
        <v>7</v>
      </c>
      <c r="M8" s="26">
        <v>11</v>
      </c>
      <c r="N8" s="26">
        <v>8</v>
      </c>
      <c r="O8" s="26">
        <v>203</v>
      </c>
      <c r="P8" s="26">
        <v>84</v>
      </c>
      <c r="Q8" s="26">
        <v>79</v>
      </c>
      <c r="R8" s="26">
        <v>101</v>
      </c>
      <c r="S8" s="26">
        <v>16</v>
      </c>
      <c r="T8" s="26">
        <v>0</v>
      </c>
      <c r="U8" s="26">
        <v>0</v>
      </c>
      <c r="V8" s="26">
        <v>0</v>
      </c>
      <c r="W8" s="26">
        <v>6</v>
      </c>
      <c r="X8" s="26">
        <v>0</v>
      </c>
      <c r="Y8" s="26">
        <v>18</v>
      </c>
      <c r="Z8" s="26">
        <v>0</v>
      </c>
      <c r="AA8" s="26">
        <v>3</v>
      </c>
      <c r="AB8" s="26">
        <v>6</v>
      </c>
      <c r="AC8" s="26">
        <v>0</v>
      </c>
      <c r="AD8" s="25">
        <v>17</v>
      </c>
      <c r="AE8" s="50">
        <v>0</v>
      </c>
      <c r="AF8" s="93">
        <v>0</v>
      </c>
      <c r="AH8" s="161" t="s">
        <v>3</v>
      </c>
      <c r="AI8" s="170">
        <f>SUM(B8:AF8)</f>
        <v>586.1</v>
      </c>
      <c r="AJ8" s="157">
        <f>AVERAGE(B8:AF8)</f>
        <v>18.906451612903226</v>
      </c>
      <c r="AK8" s="5">
        <v>18</v>
      </c>
      <c r="AL8" s="15">
        <f>AF8-AK8</f>
        <v>-18</v>
      </c>
      <c r="AM8" s="160">
        <f>AJ8-AK8</f>
        <v>0.90645161290322562</v>
      </c>
      <c r="AN8" s="158">
        <f>AI8</f>
        <v>586.1</v>
      </c>
      <c r="AO8" s="5">
        <v>214</v>
      </c>
      <c r="AP8" s="171">
        <f>AN8-AO8</f>
        <v>372.1</v>
      </c>
      <c r="AQ8" s="158">
        <f>AI8+'Février 25'!AN8</f>
        <v>1474.1</v>
      </c>
      <c r="AR8" s="5">
        <f>AO8+'Février 25'!AO8</f>
        <v>717</v>
      </c>
      <c r="AS8" s="169">
        <f t="shared" si="2"/>
        <v>757.09999999999991</v>
      </c>
    </row>
    <row r="9" spans="1:48" ht="24" customHeight="1" thickBot="1" x14ac:dyDescent="0.4">
      <c r="A9" s="36" t="s">
        <v>4</v>
      </c>
      <c r="B9" s="96">
        <v>0</v>
      </c>
      <c r="C9" s="6">
        <v>8</v>
      </c>
      <c r="D9" s="6">
        <v>0</v>
      </c>
      <c r="E9" s="6">
        <v>17</v>
      </c>
      <c r="F9" s="6">
        <v>0</v>
      </c>
      <c r="G9" s="6">
        <v>9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10</v>
      </c>
      <c r="N9" s="6">
        <v>1</v>
      </c>
      <c r="O9" s="6">
        <v>0</v>
      </c>
      <c r="P9" s="6">
        <v>33</v>
      </c>
      <c r="Q9" s="6">
        <v>0</v>
      </c>
      <c r="R9" s="6">
        <v>0</v>
      </c>
      <c r="S9" s="6">
        <v>3</v>
      </c>
      <c r="T9" s="6">
        <v>45</v>
      </c>
      <c r="U9" s="6">
        <v>30</v>
      </c>
      <c r="V9" s="6">
        <v>4</v>
      </c>
      <c r="W9" s="6">
        <v>0</v>
      </c>
      <c r="X9" s="6">
        <v>134</v>
      </c>
      <c r="Y9" s="6">
        <v>15</v>
      </c>
      <c r="Z9" s="6">
        <v>0</v>
      </c>
      <c r="AA9" s="6">
        <v>0</v>
      </c>
      <c r="AB9" s="6">
        <v>0</v>
      </c>
      <c r="AC9" s="6">
        <v>0</v>
      </c>
      <c r="AD9" s="5">
        <v>0</v>
      </c>
      <c r="AE9" s="13">
        <v>0</v>
      </c>
      <c r="AF9" s="94">
        <v>10</v>
      </c>
      <c r="AH9" s="161" t="s">
        <v>4</v>
      </c>
      <c r="AI9" s="156">
        <f>SUM(B9:AF9)</f>
        <v>319</v>
      </c>
      <c r="AJ9" s="157">
        <f>AVERAGE(B9:AF9)</f>
        <v>10.290322580645162</v>
      </c>
      <c r="AK9" s="5">
        <v>18</v>
      </c>
      <c r="AL9" s="15">
        <f t="shared" ref="AL9:AL10" si="5">AF9-AK9</f>
        <v>-8</v>
      </c>
      <c r="AM9" s="15">
        <f t="shared" ref="AM9" si="6">AJ9-AK9</f>
        <v>-7.7096774193548381</v>
      </c>
      <c r="AN9" s="5">
        <f>AI9</f>
        <v>319</v>
      </c>
      <c r="AO9" s="5">
        <v>268</v>
      </c>
      <c r="AP9" s="159">
        <f t="shared" ref="AP9:AP10" si="7">AN9-AO9</f>
        <v>51</v>
      </c>
      <c r="AQ9" s="158">
        <f>AI9+'Février 25'!AN9</f>
        <v>2063</v>
      </c>
      <c r="AR9" s="5">
        <f>AO9+'Février 25'!AO9</f>
        <v>1551</v>
      </c>
      <c r="AS9" s="169">
        <f t="shared" si="2"/>
        <v>512</v>
      </c>
    </row>
    <row r="10" spans="1:48" ht="24" customHeight="1" thickBot="1" x14ac:dyDescent="0.4">
      <c r="A10" s="36" t="s">
        <v>5</v>
      </c>
      <c r="B10" s="97">
        <v>15</v>
      </c>
      <c r="C10" s="6">
        <v>6</v>
      </c>
      <c r="D10" s="6">
        <v>43</v>
      </c>
      <c r="E10" s="6">
        <v>0</v>
      </c>
      <c r="F10" s="6">
        <v>3</v>
      </c>
      <c r="G10" s="6">
        <v>2</v>
      </c>
      <c r="H10" s="6">
        <v>0</v>
      </c>
      <c r="I10" s="6">
        <v>0</v>
      </c>
      <c r="J10" s="6">
        <v>0</v>
      </c>
      <c r="K10" s="6">
        <v>0</v>
      </c>
      <c r="L10" s="6">
        <v>9</v>
      </c>
      <c r="M10" s="6">
        <v>13</v>
      </c>
      <c r="N10" s="6">
        <v>0</v>
      </c>
      <c r="O10" s="6">
        <v>0</v>
      </c>
      <c r="P10" s="6">
        <v>39</v>
      </c>
      <c r="Q10" s="6">
        <v>3</v>
      </c>
      <c r="R10" s="6">
        <v>0</v>
      </c>
      <c r="S10" s="6">
        <v>29</v>
      </c>
      <c r="T10" s="6">
        <v>15</v>
      </c>
      <c r="U10" s="6">
        <v>0</v>
      </c>
      <c r="V10" s="6">
        <v>22</v>
      </c>
      <c r="W10" s="6">
        <v>0</v>
      </c>
      <c r="X10" s="6">
        <v>0</v>
      </c>
      <c r="Y10" s="6">
        <v>0</v>
      </c>
      <c r="Z10" s="6">
        <v>3</v>
      </c>
      <c r="AA10" s="6">
        <v>17</v>
      </c>
      <c r="AB10" s="6">
        <v>4</v>
      </c>
      <c r="AC10" s="6">
        <v>10</v>
      </c>
      <c r="AD10" s="5">
        <v>0</v>
      </c>
      <c r="AE10" s="13">
        <v>139</v>
      </c>
      <c r="AF10" s="94">
        <v>0</v>
      </c>
      <c r="AH10" s="161" t="s">
        <v>5</v>
      </c>
      <c r="AI10" s="156">
        <f>SUM(B10:AF10)</f>
        <v>372</v>
      </c>
      <c r="AJ10" s="157">
        <f>AVERAGE(B10:AF10)</f>
        <v>12</v>
      </c>
      <c r="AK10" s="5">
        <v>18</v>
      </c>
      <c r="AL10" s="15">
        <f t="shared" si="5"/>
        <v>-18</v>
      </c>
      <c r="AM10" s="15">
        <v>-7</v>
      </c>
      <c r="AN10" s="5">
        <f>AI10</f>
        <v>372</v>
      </c>
      <c r="AO10" s="5">
        <v>194</v>
      </c>
      <c r="AP10" s="159">
        <f t="shared" si="7"/>
        <v>178</v>
      </c>
      <c r="AQ10" s="158">
        <f>AI10+'Février 25'!AN10</f>
        <v>792</v>
      </c>
      <c r="AR10" s="5">
        <f>AO10+'Février 25'!AO10</f>
        <v>596</v>
      </c>
      <c r="AS10" s="169">
        <f t="shared" si="2"/>
        <v>196</v>
      </c>
    </row>
    <row r="11" spans="1:48" ht="24" customHeight="1" thickBot="1" x14ac:dyDescent="0.4">
      <c r="A11" s="37" t="s">
        <v>7</v>
      </c>
      <c r="B11" s="38">
        <f t="shared" ref="B11:G11" si="8">AVERAGE(B8:B10)</f>
        <v>5</v>
      </c>
      <c r="C11" s="128">
        <f t="shared" si="8"/>
        <v>7.333333333333333</v>
      </c>
      <c r="D11" s="128">
        <f t="shared" si="8"/>
        <v>14.333333333333334</v>
      </c>
      <c r="E11" s="128">
        <f t="shared" si="8"/>
        <v>9.3333333333333339</v>
      </c>
      <c r="F11" s="128">
        <f t="shared" si="8"/>
        <v>1</v>
      </c>
      <c r="G11" s="128">
        <f t="shared" si="8"/>
        <v>3.6666666666666665</v>
      </c>
      <c r="H11" s="128">
        <f t="shared" ref="H11" si="9">AVERAGE(H8:H10)</f>
        <v>0</v>
      </c>
      <c r="I11" s="128">
        <f t="shared" ref="I11:AF11" si="10">AVERAGE(I8:I10)</f>
        <v>0</v>
      </c>
      <c r="J11" s="128">
        <f t="shared" si="10"/>
        <v>2.6999999999999997</v>
      </c>
      <c r="K11" s="128">
        <f t="shared" si="10"/>
        <v>0</v>
      </c>
      <c r="L11" s="128">
        <f t="shared" si="10"/>
        <v>5.333333333333333</v>
      </c>
      <c r="M11" s="128">
        <f t="shared" si="10"/>
        <v>11.333333333333334</v>
      </c>
      <c r="N11" s="128">
        <f t="shared" si="10"/>
        <v>3</v>
      </c>
      <c r="O11" s="128">
        <f t="shared" si="10"/>
        <v>67.666666666666671</v>
      </c>
      <c r="P11" s="128">
        <f t="shared" si="10"/>
        <v>52</v>
      </c>
      <c r="Q11" s="128">
        <f t="shared" si="10"/>
        <v>27.333333333333332</v>
      </c>
      <c r="R11" s="128">
        <f t="shared" si="10"/>
        <v>33.666666666666664</v>
      </c>
      <c r="S11" s="128">
        <f t="shared" si="10"/>
        <v>16</v>
      </c>
      <c r="T11" s="128">
        <f t="shared" si="10"/>
        <v>20</v>
      </c>
      <c r="U11" s="128">
        <f t="shared" si="10"/>
        <v>10</v>
      </c>
      <c r="V11" s="128">
        <f t="shared" si="10"/>
        <v>8.6666666666666661</v>
      </c>
      <c r="W11" s="128">
        <f t="shared" si="10"/>
        <v>2</v>
      </c>
      <c r="X11" s="128">
        <f t="shared" si="10"/>
        <v>44.666666666666664</v>
      </c>
      <c r="Y11" s="128">
        <f t="shared" si="10"/>
        <v>11</v>
      </c>
      <c r="Z11" s="128">
        <f t="shared" si="10"/>
        <v>1</v>
      </c>
      <c r="AA11" s="128">
        <f t="shared" si="10"/>
        <v>6.666666666666667</v>
      </c>
      <c r="AB11" s="128">
        <f t="shared" si="10"/>
        <v>3.3333333333333335</v>
      </c>
      <c r="AC11" s="128">
        <f t="shared" si="10"/>
        <v>3.3333333333333335</v>
      </c>
      <c r="AD11" s="128">
        <f t="shared" si="10"/>
        <v>5.666666666666667</v>
      </c>
      <c r="AE11" s="128">
        <f t="shared" si="10"/>
        <v>46.333333333333336</v>
      </c>
      <c r="AF11" s="128">
        <f t="shared" si="10"/>
        <v>3.3333333333333335</v>
      </c>
      <c r="AH11" s="161" t="s">
        <v>7</v>
      </c>
      <c r="AI11" s="123">
        <f>AVERAGE(AI8:AI10)</f>
        <v>425.7</v>
      </c>
      <c r="AJ11" s="124">
        <f>AVERAGE(AJ8:AJ10)</f>
        <v>13.732258064516129</v>
      </c>
      <c r="AK11" s="125">
        <v>18</v>
      </c>
      <c r="AL11" s="126">
        <f>AF11-AK11</f>
        <v>-14.666666666666666</v>
      </c>
      <c r="AM11" s="126">
        <f>AJ11-AK11</f>
        <v>-4.2677419354838708</v>
      </c>
      <c r="AN11" s="136">
        <f>SUM(AN8:AN10)</f>
        <v>1277.0999999999999</v>
      </c>
      <c r="AO11" s="125">
        <f>SUM(AO8:AO10)</f>
        <v>676</v>
      </c>
      <c r="AP11" s="173">
        <f>AN11-AO11</f>
        <v>601.09999999999991</v>
      </c>
      <c r="AQ11" s="166">
        <f>SUM(AQ8:AQ10)</f>
        <v>4329.1000000000004</v>
      </c>
      <c r="AR11" s="167">
        <f>SUM(AR8:AR10)</f>
        <v>2864</v>
      </c>
      <c r="AS11" s="146">
        <f>AQ11-AR11</f>
        <v>1465.1000000000004</v>
      </c>
    </row>
    <row r="12" spans="1:48" ht="9.5" customHeight="1" thickTop="1" thickBot="1" x14ac:dyDescent="0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J12" s="4"/>
      <c r="AK12" s="7"/>
      <c r="AL12" s="16"/>
      <c r="AM12" s="8"/>
      <c r="AN12" s="10"/>
    </row>
    <row r="13" spans="1:48" ht="59" customHeight="1" thickTop="1" thickBot="1" x14ac:dyDescent="0.4">
      <c r="A13" s="42" t="s">
        <v>8</v>
      </c>
      <c r="B13" s="43">
        <f t="shared" ref="B13:AF13" si="11">AVERAGE(B11,B7)</f>
        <v>15.5</v>
      </c>
      <c r="C13" s="43">
        <f t="shared" si="11"/>
        <v>36.5</v>
      </c>
      <c r="D13" s="43">
        <f t="shared" si="11"/>
        <v>11.5</v>
      </c>
      <c r="E13" s="43">
        <f t="shared" si="11"/>
        <v>69.64500000000001</v>
      </c>
      <c r="F13" s="43">
        <f t="shared" si="11"/>
        <v>4</v>
      </c>
      <c r="G13" s="43">
        <f t="shared" si="11"/>
        <v>11.095000000000001</v>
      </c>
      <c r="H13" s="43">
        <f t="shared" si="11"/>
        <v>11.5</v>
      </c>
      <c r="I13" s="43">
        <f t="shared" si="11"/>
        <v>18.083333333333332</v>
      </c>
      <c r="J13" s="43">
        <f t="shared" si="11"/>
        <v>10.283333333333333</v>
      </c>
      <c r="K13" s="43">
        <f t="shared" si="11"/>
        <v>4.166666666666667</v>
      </c>
      <c r="L13" s="43">
        <f t="shared" si="11"/>
        <v>13.333333333333332</v>
      </c>
      <c r="M13" s="43">
        <f t="shared" si="11"/>
        <v>11</v>
      </c>
      <c r="N13" s="43">
        <f t="shared" si="11"/>
        <v>7.666666666666667</v>
      </c>
      <c r="O13" s="43">
        <f t="shared" si="11"/>
        <v>175.33333333333334</v>
      </c>
      <c r="P13" s="43">
        <f t="shared" si="11"/>
        <v>67.333333333333343</v>
      </c>
      <c r="Q13" s="43">
        <f t="shared" si="11"/>
        <v>18.166666666666664</v>
      </c>
      <c r="R13" s="43">
        <f t="shared" si="11"/>
        <v>22.666666666666664</v>
      </c>
      <c r="S13" s="43">
        <f t="shared" si="11"/>
        <v>25</v>
      </c>
      <c r="T13" s="43">
        <f t="shared" si="11"/>
        <v>14.5</v>
      </c>
      <c r="U13" s="43">
        <f t="shared" si="11"/>
        <v>6</v>
      </c>
      <c r="V13" s="43">
        <f t="shared" si="11"/>
        <v>7.5</v>
      </c>
      <c r="W13" s="43">
        <f t="shared" si="11"/>
        <v>6.833333333333333</v>
      </c>
      <c r="X13" s="43">
        <f t="shared" si="11"/>
        <v>25.5</v>
      </c>
      <c r="Y13" s="43">
        <f t="shared" si="11"/>
        <v>10.666666666666668</v>
      </c>
      <c r="Z13" s="43">
        <f t="shared" si="11"/>
        <v>3.5</v>
      </c>
      <c r="AA13" s="43">
        <f t="shared" si="11"/>
        <v>7.6666666666666661</v>
      </c>
      <c r="AB13" s="43">
        <f t="shared" si="11"/>
        <v>44.5</v>
      </c>
      <c r="AC13" s="43">
        <f t="shared" si="11"/>
        <v>7.3333333333333339</v>
      </c>
      <c r="AD13" s="43">
        <f t="shared" si="11"/>
        <v>7.3333333333333339</v>
      </c>
      <c r="AE13" s="43">
        <f t="shared" si="11"/>
        <v>31.166666666666668</v>
      </c>
      <c r="AF13" s="43">
        <f t="shared" si="11"/>
        <v>15.333333333333332</v>
      </c>
      <c r="AH13" s="85" t="s">
        <v>8</v>
      </c>
      <c r="AI13" s="86">
        <f>AVERAGE(AI11,AI7)</f>
        <v>720.60666666666668</v>
      </c>
      <c r="AJ13" s="86">
        <f>AVERAGE(AJ11,AJ7)</f>
        <v>23.245376344086022</v>
      </c>
      <c r="AK13" s="87">
        <v>18</v>
      </c>
      <c r="AL13" s="88">
        <f>AF13-AK13</f>
        <v>-2.6666666666666679</v>
      </c>
      <c r="AM13" s="89">
        <f>AJ13-AK13</f>
        <v>5.2453763440860222</v>
      </c>
      <c r="AN13" s="87">
        <f>SUM(AN7,AN11)</f>
        <v>4323.6399999999994</v>
      </c>
      <c r="AO13" s="90">
        <f>SUM(AO7,AO11)</f>
        <v>1645</v>
      </c>
      <c r="AP13" s="152">
        <f>AN13-AO13</f>
        <v>2678.6399999999994</v>
      </c>
      <c r="AQ13" s="154">
        <f>SUM(AQ11,AQ7)</f>
        <v>12910.140000000001</v>
      </c>
      <c r="AR13" s="154">
        <f>SUM(AR11,AR7)</f>
        <v>6273</v>
      </c>
      <c r="AS13" s="152">
        <f>AQ13-AR13</f>
        <v>6637.1400000000012</v>
      </c>
    </row>
    <row r="14" spans="1:48" ht="15" thickTop="1" x14ac:dyDescent="0.35"/>
  </sheetData>
  <mergeCells count="1">
    <mergeCell ref="A1:AS1"/>
  </mergeCells>
  <printOptions horizontalCentered="1" verticalCentered="1"/>
  <pageMargins left="0" right="0" top="0" bottom="0" header="0" footer="0"/>
  <pageSetup paperSize="9" scale="9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4"/>
  <sheetViews>
    <sheetView zoomScale="70" zoomScaleNormal="70" workbookViewId="0">
      <selection activeCell="AF4" sqref="AF4:AF11"/>
    </sheetView>
  </sheetViews>
  <sheetFormatPr baseColWidth="10" defaultRowHeight="14.5" x14ac:dyDescent="0.35"/>
  <cols>
    <col min="1" max="1" width="7.54296875" customWidth="1"/>
    <col min="2" max="29" width="3.90625" customWidth="1"/>
    <col min="30" max="30" width="0.81640625" customWidth="1"/>
    <col min="31" max="31" width="6.1796875" customWidth="1"/>
    <col min="32" max="39" width="9.1796875" customWidth="1"/>
  </cols>
  <sheetData>
    <row r="1" spans="1:42" ht="24" thickBot="1" x14ac:dyDescent="0.4">
      <c r="A1" s="203" t="s">
        <v>24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204"/>
      <c r="AN1" s="204"/>
      <c r="AO1" s="204"/>
      <c r="AP1" s="205"/>
    </row>
    <row r="2" spans="1:42" ht="9.5" customHeight="1" thickBot="1" x14ac:dyDescent="0.4"/>
    <row r="3" spans="1:42" ht="69.5" customHeight="1" thickTop="1" thickBot="1" x14ac:dyDescent="0.4">
      <c r="A3" s="1"/>
      <c r="B3" s="20">
        <v>45689</v>
      </c>
      <c r="C3" s="20">
        <v>45690</v>
      </c>
      <c r="D3" s="20">
        <v>45691</v>
      </c>
      <c r="E3" s="20">
        <v>45692</v>
      </c>
      <c r="F3" s="20">
        <v>45693</v>
      </c>
      <c r="G3" s="20">
        <v>45694</v>
      </c>
      <c r="H3" s="20">
        <v>45695</v>
      </c>
      <c r="I3" s="20">
        <v>45696</v>
      </c>
      <c r="J3" s="20">
        <v>45697</v>
      </c>
      <c r="K3" s="20">
        <v>45698</v>
      </c>
      <c r="L3" s="20">
        <v>45699</v>
      </c>
      <c r="M3" s="20">
        <v>45700</v>
      </c>
      <c r="N3" s="20">
        <v>45701</v>
      </c>
      <c r="O3" s="20">
        <v>45702</v>
      </c>
      <c r="P3" s="20">
        <v>45703</v>
      </c>
      <c r="Q3" s="20">
        <v>45704</v>
      </c>
      <c r="R3" s="20">
        <v>45705</v>
      </c>
      <c r="S3" s="20">
        <v>45706</v>
      </c>
      <c r="T3" s="20">
        <v>45707</v>
      </c>
      <c r="U3" s="20">
        <v>45708</v>
      </c>
      <c r="V3" s="20">
        <v>45709</v>
      </c>
      <c r="W3" s="20">
        <v>45710</v>
      </c>
      <c r="X3" s="20">
        <v>45711</v>
      </c>
      <c r="Y3" s="20">
        <v>45712</v>
      </c>
      <c r="Z3" s="20">
        <v>45713</v>
      </c>
      <c r="AA3" s="20">
        <v>45714</v>
      </c>
      <c r="AB3" s="20">
        <v>45715</v>
      </c>
      <c r="AC3" s="20">
        <v>45716</v>
      </c>
      <c r="AD3" s="3"/>
      <c r="AF3" s="104" t="s">
        <v>9</v>
      </c>
      <c r="AG3" s="105" t="s">
        <v>10</v>
      </c>
      <c r="AH3" s="105" t="s">
        <v>17</v>
      </c>
      <c r="AI3" s="106" t="s">
        <v>11</v>
      </c>
      <c r="AJ3" s="106" t="s">
        <v>12</v>
      </c>
      <c r="AK3" s="107" t="s">
        <v>19</v>
      </c>
      <c r="AL3" s="107" t="s">
        <v>20</v>
      </c>
      <c r="AM3" s="106" t="s">
        <v>16</v>
      </c>
      <c r="AN3" s="107" t="s">
        <v>21</v>
      </c>
      <c r="AO3" s="107" t="s">
        <v>22</v>
      </c>
      <c r="AP3" s="108" t="s">
        <v>16</v>
      </c>
    </row>
    <row r="4" spans="1:42" ht="24" customHeight="1" thickTop="1" thickBot="1" x14ac:dyDescent="0.4">
      <c r="A4" s="23" t="s">
        <v>0</v>
      </c>
      <c r="B4" s="24">
        <v>33</v>
      </c>
      <c r="C4" s="25">
        <v>0</v>
      </c>
      <c r="D4" s="26">
        <v>19</v>
      </c>
      <c r="E4" s="26">
        <v>11</v>
      </c>
      <c r="F4" s="26">
        <v>0</v>
      </c>
      <c r="G4" s="26">
        <v>0</v>
      </c>
      <c r="H4" s="26">
        <v>6</v>
      </c>
      <c r="I4" s="26">
        <v>0</v>
      </c>
      <c r="J4" s="26">
        <v>6</v>
      </c>
      <c r="K4" s="26">
        <v>0</v>
      </c>
      <c r="L4" s="26">
        <v>14</v>
      </c>
      <c r="M4" s="26">
        <v>4</v>
      </c>
      <c r="N4" s="26">
        <v>15</v>
      </c>
      <c r="O4" s="26">
        <v>19</v>
      </c>
      <c r="P4" s="26">
        <v>17</v>
      </c>
      <c r="Q4" s="26">
        <v>9</v>
      </c>
      <c r="R4" s="26">
        <v>6</v>
      </c>
      <c r="S4" s="26">
        <v>7</v>
      </c>
      <c r="T4" s="26">
        <v>22</v>
      </c>
      <c r="U4" s="26">
        <v>3</v>
      </c>
      <c r="V4" s="26">
        <v>665</v>
      </c>
      <c r="W4" s="26">
        <v>17</v>
      </c>
      <c r="X4" s="26">
        <v>3</v>
      </c>
      <c r="Y4" s="26">
        <v>95</v>
      </c>
      <c r="Z4" s="26">
        <v>9</v>
      </c>
      <c r="AA4" s="26">
        <v>15</v>
      </c>
      <c r="AB4" s="26">
        <v>6</v>
      </c>
      <c r="AC4" s="26">
        <v>13</v>
      </c>
      <c r="AE4" s="23" t="s">
        <v>0</v>
      </c>
      <c r="AF4" s="109">
        <f>SUM(B4:AC4)</f>
        <v>1014</v>
      </c>
      <c r="AG4" s="110">
        <f>AVERAGE(B4:AC4)</f>
        <v>36.214285714285715</v>
      </c>
      <c r="AH4" s="111">
        <v>18</v>
      </c>
      <c r="AI4" s="112">
        <f>AC4-AH4</f>
        <v>-5</v>
      </c>
      <c r="AJ4" s="142">
        <f>AG4-AH4</f>
        <v>18.214285714285715</v>
      </c>
      <c r="AK4" s="130">
        <f>AF4</f>
        <v>1014</v>
      </c>
      <c r="AL4" s="111">
        <v>501</v>
      </c>
      <c r="AM4" s="168">
        <f>AK4-AL4</f>
        <v>513</v>
      </c>
      <c r="AN4" s="130">
        <f>AK4+'Janvier 25'!AN4</f>
        <v>1612</v>
      </c>
      <c r="AO4" s="111">
        <f>388+AL4</f>
        <v>889</v>
      </c>
      <c r="AP4" s="139">
        <f>AN4-AO4</f>
        <v>723</v>
      </c>
    </row>
    <row r="5" spans="1:42" ht="24" customHeight="1" thickBot="1" x14ac:dyDescent="0.4">
      <c r="A5" s="27" t="s">
        <v>1</v>
      </c>
      <c r="B5" s="17">
        <v>1</v>
      </c>
      <c r="C5" s="5">
        <v>0</v>
      </c>
      <c r="D5" s="6">
        <v>0</v>
      </c>
      <c r="E5" s="6">
        <v>3</v>
      </c>
      <c r="F5" s="6">
        <v>0</v>
      </c>
      <c r="G5" s="6">
        <v>4</v>
      </c>
      <c r="H5" s="6">
        <v>11</v>
      </c>
      <c r="I5" s="6">
        <v>4</v>
      </c>
      <c r="J5" s="6">
        <v>0</v>
      </c>
      <c r="K5" s="6">
        <v>30</v>
      </c>
      <c r="L5" s="6">
        <v>19</v>
      </c>
      <c r="M5" s="6">
        <v>6</v>
      </c>
      <c r="N5" s="6">
        <v>0</v>
      </c>
      <c r="O5" s="6">
        <v>4</v>
      </c>
      <c r="P5" s="6">
        <v>0</v>
      </c>
      <c r="Q5" s="6">
        <v>13</v>
      </c>
      <c r="R5" s="6">
        <v>0</v>
      </c>
      <c r="S5" s="6">
        <v>6</v>
      </c>
      <c r="T5" s="6">
        <v>2</v>
      </c>
      <c r="U5" s="6">
        <v>8</v>
      </c>
      <c r="V5" s="6">
        <v>18</v>
      </c>
      <c r="W5" s="6">
        <v>15</v>
      </c>
      <c r="X5" s="6">
        <v>0</v>
      </c>
      <c r="Y5" s="6">
        <v>0</v>
      </c>
      <c r="Z5" s="6">
        <v>2</v>
      </c>
      <c r="AA5" s="6">
        <v>15</v>
      </c>
      <c r="AB5" s="6">
        <v>22</v>
      </c>
      <c r="AC5" s="6">
        <v>0</v>
      </c>
      <c r="AE5" s="27" t="s">
        <v>1</v>
      </c>
      <c r="AF5" s="115">
        <f>SUM(B5:AC5)</f>
        <v>183</v>
      </c>
      <c r="AG5" s="110">
        <f t="shared" ref="AG5:AG6" si="0">AVERAGE(B5:AC5)</f>
        <v>6.5357142857142856</v>
      </c>
      <c r="AH5" s="102">
        <v>18</v>
      </c>
      <c r="AI5" s="112">
        <f t="shared" ref="AI5:AI6" si="1">AC5-AH5</f>
        <v>-18</v>
      </c>
      <c r="AJ5" s="103">
        <f>AG5-AH5</f>
        <v>-11.464285714285715</v>
      </c>
      <c r="AK5" s="130">
        <f t="shared" ref="AK5:AK6" si="2">AF5</f>
        <v>183</v>
      </c>
      <c r="AL5" s="102">
        <v>583</v>
      </c>
      <c r="AM5" s="127">
        <f t="shared" ref="AM5:AM6" si="3">AK5-AL5</f>
        <v>-400</v>
      </c>
      <c r="AN5" s="102">
        <f>AK5+'Janvier 25'!AN5</f>
        <v>2261</v>
      </c>
      <c r="AO5" s="102">
        <f>437+AL5</f>
        <v>1020</v>
      </c>
      <c r="AP5" s="116">
        <f t="shared" ref="AP5:AP11" si="4">AN5-AO5</f>
        <v>1241</v>
      </c>
    </row>
    <row r="6" spans="1:42" ht="24" customHeight="1" thickBot="1" x14ac:dyDescent="0.4">
      <c r="A6" s="27" t="s">
        <v>2</v>
      </c>
      <c r="B6" s="17">
        <v>12</v>
      </c>
      <c r="C6" s="5">
        <v>3</v>
      </c>
      <c r="D6" s="6">
        <v>8</v>
      </c>
      <c r="E6" s="6">
        <v>8</v>
      </c>
      <c r="F6" s="6">
        <v>11</v>
      </c>
      <c r="G6" s="6">
        <v>59</v>
      </c>
      <c r="H6" s="6">
        <v>5</v>
      </c>
      <c r="I6" s="6">
        <v>29</v>
      </c>
      <c r="J6" s="6">
        <v>188.5</v>
      </c>
      <c r="K6" s="6">
        <v>3</v>
      </c>
      <c r="L6" s="6">
        <v>23</v>
      </c>
      <c r="M6" s="6">
        <v>5</v>
      </c>
      <c r="N6" s="6">
        <v>7</v>
      </c>
      <c r="O6" s="6">
        <v>256</v>
      </c>
      <c r="P6" s="6">
        <v>11</v>
      </c>
      <c r="Q6" s="6">
        <v>4</v>
      </c>
      <c r="R6" s="6">
        <v>4</v>
      </c>
      <c r="S6" s="6">
        <v>23</v>
      </c>
      <c r="T6" s="6">
        <v>13</v>
      </c>
      <c r="U6" s="6">
        <v>54</v>
      </c>
      <c r="V6" s="6">
        <v>58</v>
      </c>
      <c r="W6" s="6">
        <v>32</v>
      </c>
      <c r="X6" s="6">
        <v>33</v>
      </c>
      <c r="Y6" s="6">
        <v>15</v>
      </c>
      <c r="Z6" s="6">
        <v>15</v>
      </c>
      <c r="AA6" s="6">
        <v>22</v>
      </c>
      <c r="AB6" s="6">
        <v>24</v>
      </c>
      <c r="AC6" s="6">
        <v>28</v>
      </c>
      <c r="AE6" s="27" t="s">
        <v>2</v>
      </c>
      <c r="AF6" s="131">
        <f>SUM(B6:AC6)</f>
        <v>953.5</v>
      </c>
      <c r="AG6" s="110">
        <f t="shared" si="0"/>
        <v>34.053571428571431</v>
      </c>
      <c r="AH6" s="118">
        <v>18</v>
      </c>
      <c r="AI6" s="149">
        <f t="shared" si="1"/>
        <v>10</v>
      </c>
      <c r="AJ6" s="129">
        <f>AG6-AH6</f>
        <v>16.053571428571431</v>
      </c>
      <c r="AK6" s="130">
        <f t="shared" si="2"/>
        <v>953.5</v>
      </c>
      <c r="AL6" s="118">
        <v>441</v>
      </c>
      <c r="AM6" s="133">
        <f t="shared" si="3"/>
        <v>512.5</v>
      </c>
      <c r="AN6" s="134">
        <f>AK6+'Janvier 25'!AN6</f>
        <v>1661.5</v>
      </c>
      <c r="AO6" s="118">
        <f>90+AL6</f>
        <v>531</v>
      </c>
      <c r="AP6" s="137">
        <f t="shared" si="4"/>
        <v>1130.5</v>
      </c>
    </row>
    <row r="7" spans="1:42" ht="29" customHeight="1" thickBot="1" x14ac:dyDescent="0.4">
      <c r="A7" s="28" t="s">
        <v>13</v>
      </c>
      <c r="B7" s="29">
        <f>AVERAGE(B4:B6)</f>
        <v>15.333333333333334</v>
      </c>
      <c r="C7" s="30">
        <f t="shared" ref="C7:T7" si="5">AVERAGE(C4:C6)</f>
        <v>1</v>
      </c>
      <c r="D7" s="30">
        <f t="shared" si="5"/>
        <v>9</v>
      </c>
      <c r="E7" s="30">
        <f t="shared" si="5"/>
        <v>7.333333333333333</v>
      </c>
      <c r="F7" s="30">
        <f t="shared" si="5"/>
        <v>3.6666666666666665</v>
      </c>
      <c r="G7" s="30">
        <f t="shared" si="5"/>
        <v>21</v>
      </c>
      <c r="H7" s="30">
        <f t="shared" si="5"/>
        <v>7.333333333333333</v>
      </c>
      <c r="I7" s="30">
        <f t="shared" si="5"/>
        <v>11</v>
      </c>
      <c r="J7" s="30">
        <f t="shared" si="5"/>
        <v>64.833333333333329</v>
      </c>
      <c r="K7" s="30">
        <f t="shared" si="5"/>
        <v>11</v>
      </c>
      <c r="L7" s="30">
        <f t="shared" si="5"/>
        <v>18.666666666666668</v>
      </c>
      <c r="M7" s="30">
        <f t="shared" si="5"/>
        <v>5</v>
      </c>
      <c r="N7" s="30">
        <f t="shared" si="5"/>
        <v>7.333333333333333</v>
      </c>
      <c r="O7" s="30">
        <f t="shared" si="5"/>
        <v>93</v>
      </c>
      <c r="P7" s="30">
        <f t="shared" si="5"/>
        <v>9.3333333333333339</v>
      </c>
      <c r="Q7" s="30">
        <f t="shared" si="5"/>
        <v>8.6666666666666661</v>
      </c>
      <c r="R7" s="30">
        <f t="shared" si="5"/>
        <v>3.3333333333333335</v>
      </c>
      <c r="S7" s="30">
        <f t="shared" si="5"/>
        <v>12</v>
      </c>
      <c r="T7" s="30">
        <f t="shared" si="5"/>
        <v>12.333333333333334</v>
      </c>
      <c r="U7" s="30">
        <f>AVERAGE(U4:U6)</f>
        <v>21.666666666666668</v>
      </c>
      <c r="V7" s="30">
        <f>AVERAGE(V4:V6)</f>
        <v>247</v>
      </c>
      <c r="W7" s="30">
        <f t="shared" ref="W7:AC7" si="6">AVERAGE(W4:W6)</f>
        <v>21.333333333333332</v>
      </c>
      <c r="X7" s="30">
        <f t="shared" si="6"/>
        <v>12</v>
      </c>
      <c r="Y7" s="30">
        <f t="shared" si="6"/>
        <v>36.666666666666664</v>
      </c>
      <c r="Z7" s="30">
        <f t="shared" si="6"/>
        <v>8.6666666666666661</v>
      </c>
      <c r="AA7" s="30">
        <f t="shared" si="6"/>
        <v>17.333333333333332</v>
      </c>
      <c r="AB7" s="30">
        <f t="shared" si="6"/>
        <v>17.333333333333332</v>
      </c>
      <c r="AC7" s="30">
        <f t="shared" si="6"/>
        <v>13.666666666666666</v>
      </c>
      <c r="AE7" s="70" t="s">
        <v>6</v>
      </c>
      <c r="AF7" s="120">
        <f>AVERAGE(AF4:AF6)</f>
        <v>716.83333333333337</v>
      </c>
      <c r="AG7" s="121">
        <f>AVERAGE(AG4:AG6)</f>
        <v>25.601190476190478</v>
      </c>
      <c r="AH7" s="122">
        <v>18</v>
      </c>
      <c r="AI7" s="147">
        <f>AC7-AH7</f>
        <v>-4.3333333333333339</v>
      </c>
      <c r="AJ7" s="141">
        <f>AG7-AH7</f>
        <v>7.6011904761904781</v>
      </c>
      <c r="AK7" s="132">
        <f>SUM(AK4:AK6)</f>
        <v>2150.5</v>
      </c>
      <c r="AL7" s="122">
        <f>SUM(AL4:AL6)</f>
        <v>1525</v>
      </c>
      <c r="AM7" s="144">
        <f>AK7-AL7</f>
        <v>625.5</v>
      </c>
      <c r="AN7" s="132">
        <f>SUM(AN4:AN6)</f>
        <v>5534.5</v>
      </c>
      <c r="AO7" s="122">
        <f>SUM(AO4:AO6)</f>
        <v>2440</v>
      </c>
      <c r="AP7" s="138">
        <f t="shared" si="4"/>
        <v>3094.5</v>
      </c>
    </row>
    <row r="8" spans="1:42" ht="24" customHeight="1" thickTop="1" thickBot="1" x14ac:dyDescent="0.4">
      <c r="A8" s="33" t="s">
        <v>3</v>
      </c>
      <c r="B8" s="95">
        <v>28</v>
      </c>
      <c r="C8" s="26">
        <v>10</v>
      </c>
      <c r="D8" s="26">
        <v>14</v>
      </c>
      <c r="E8" s="26">
        <v>38</v>
      </c>
      <c r="F8" s="26">
        <v>13</v>
      </c>
      <c r="G8" s="26">
        <v>0</v>
      </c>
      <c r="H8" s="26">
        <v>0</v>
      </c>
      <c r="I8" s="26">
        <v>17</v>
      </c>
      <c r="J8" s="26">
        <v>36</v>
      </c>
      <c r="K8" s="26">
        <v>3</v>
      </c>
      <c r="L8" s="26">
        <v>3</v>
      </c>
      <c r="M8" s="26">
        <v>10</v>
      </c>
      <c r="N8" s="26">
        <v>0</v>
      </c>
      <c r="O8" s="26">
        <v>0</v>
      </c>
      <c r="P8" s="26">
        <v>0</v>
      </c>
      <c r="Q8" s="26">
        <v>0</v>
      </c>
      <c r="R8" s="26">
        <v>5</v>
      </c>
      <c r="S8" s="26">
        <v>0</v>
      </c>
      <c r="T8" s="26">
        <v>0</v>
      </c>
      <c r="U8" s="26">
        <v>0</v>
      </c>
      <c r="V8" s="26">
        <v>0</v>
      </c>
      <c r="W8" s="26">
        <v>0</v>
      </c>
      <c r="X8" s="26">
        <v>4</v>
      </c>
      <c r="Y8" s="26">
        <v>190</v>
      </c>
      <c r="Z8" s="26">
        <v>45</v>
      </c>
      <c r="AA8" s="26">
        <v>0</v>
      </c>
      <c r="AB8" s="26">
        <v>0</v>
      </c>
      <c r="AC8" s="26">
        <v>0</v>
      </c>
      <c r="AE8" s="71" t="s">
        <v>3</v>
      </c>
      <c r="AF8" s="109">
        <f>SUM(B8:AC8)</f>
        <v>416</v>
      </c>
      <c r="AG8" s="110">
        <f>AVERAGE(B8:AC8)</f>
        <v>14.857142857142858</v>
      </c>
      <c r="AH8" s="111">
        <v>18</v>
      </c>
      <c r="AI8" s="113">
        <f>AC8-AH8</f>
        <v>-18</v>
      </c>
      <c r="AJ8" s="113">
        <f t="shared" ref="AJ8:AJ11" si="7">AG8-AH8</f>
        <v>-3.1428571428571423</v>
      </c>
      <c r="AK8" s="111">
        <f>AF8</f>
        <v>416</v>
      </c>
      <c r="AL8" s="111">
        <v>233</v>
      </c>
      <c r="AM8" s="114">
        <f>AK8-AL8</f>
        <v>183</v>
      </c>
      <c r="AN8" s="130">
        <f>AK8+'Janvier 25'!AN8</f>
        <v>888</v>
      </c>
      <c r="AO8" s="111">
        <f>270+AL8</f>
        <v>503</v>
      </c>
      <c r="AP8" s="139">
        <f t="shared" si="4"/>
        <v>385</v>
      </c>
    </row>
    <row r="9" spans="1:42" ht="24" customHeight="1" thickBot="1" x14ac:dyDescent="0.4">
      <c r="A9" s="36" t="s">
        <v>4</v>
      </c>
      <c r="B9" s="96">
        <v>16</v>
      </c>
      <c r="C9" s="6">
        <v>5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35</v>
      </c>
      <c r="J9" s="6">
        <v>35</v>
      </c>
      <c r="K9" s="6">
        <v>166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5</v>
      </c>
      <c r="R9" s="6">
        <v>2</v>
      </c>
      <c r="S9" s="6">
        <v>5</v>
      </c>
      <c r="T9" s="6">
        <v>4</v>
      </c>
      <c r="U9" s="6">
        <v>0</v>
      </c>
      <c r="V9" s="6">
        <v>0</v>
      </c>
      <c r="W9" s="6">
        <v>42</v>
      </c>
      <c r="X9" s="6">
        <v>0</v>
      </c>
      <c r="Y9" s="6">
        <v>0</v>
      </c>
      <c r="Z9" s="6">
        <v>0</v>
      </c>
      <c r="AA9" s="6">
        <v>12</v>
      </c>
      <c r="AB9" s="6">
        <v>0</v>
      </c>
      <c r="AC9" s="6">
        <v>0</v>
      </c>
      <c r="AE9" s="36" t="s">
        <v>4</v>
      </c>
      <c r="AF9" s="115">
        <f>SUM(B9:AC9)</f>
        <v>327</v>
      </c>
      <c r="AG9" s="110">
        <f t="shared" ref="AG9:AG10" si="8">AVERAGE(B9:AC9)</f>
        <v>11.678571428571429</v>
      </c>
      <c r="AH9" s="102">
        <v>18</v>
      </c>
      <c r="AI9" s="113">
        <f t="shared" ref="AI9:AI10" si="9">AC9-AH9</f>
        <v>-18</v>
      </c>
      <c r="AJ9" s="103">
        <f>AG9-AH9</f>
        <v>-6.3214285714285712</v>
      </c>
      <c r="AK9" s="111">
        <f t="shared" ref="AK9:AK10" si="10">AF9</f>
        <v>327</v>
      </c>
      <c r="AL9" s="102">
        <v>429</v>
      </c>
      <c r="AM9" s="127">
        <f t="shared" ref="AM9:AM10" si="11">AK9-AL9</f>
        <v>-102</v>
      </c>
      <c r="AN9" s="135">
        <f>AK9+'Janvier 25'!AN9</f>
        <v>1744</v>
      </c>
      <c r="AO9" s="102">
        <f>854+AL9</f>
        <v>1283</v>
      </c>
      <c r="AP9" s="151">
        <f t="shared" si="4"/>
        <v>461</v>
      </c>
    </row>
    <row r="10" spans="1:42" ht="24" customHeight="1" thickBot="1" x14ac:dyDescent="0.4">
      <c r="A10" s="36" t="s">
        <v>5</v>
      </c>
      <c r="B10" s="97">
        <v>0</v>
      </c>
      <c r="C10" s="6">
        <v>0</v>
      </c>
      <c r="D10" s="6">
        <v>6</v>
      </c>
      <c r="E10" s="6">
        <v>0</v>
      </c>
      <c r="F10" s="6">
        <v>6</v>
      </c>
      <c r="G10" s="6">
        <v>7</v>
      </c>
      <c r="H10" s="6">
        <v>21</v>
      </c>
      <c r="I10" s="6">
        <v>34</v>
      </c>
      <c r="J10" s="6">
        <v>4</v>
      </c>
      <c r="K10" s="6">
        <v>0</v>
      </c>
      <c r="L10" s="6">
        <v>8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4</v>
      </c>
      <c r="S10" s="6">
        <v>13</v>
      </c>
      <c r="T10" s="6">
        <v>10</v>
      </c>
      <c r="U10" s="6">
        <v>4</v>
      </c>
      <c r="V10" s="6">
        <v>0</v>
      </c>
      <c r="W10" s="6">
        <v>0</v>
      </c>
      <c r="X10" s="6">
        <v>14</v>
      </c>
      <c r="Y10" s="6">
        <v>3</v>
      </c>
      <c r="Z10" s="6">
        <v>0</v>
      </c>
      <c r="AA10" s="6">
        <v>0</v>
      </c>
      <c r="AB10" s="6">
        <v>30</v>
      </c>
      <c r="AC10" s="6">
        <v>21</v>
      </c>
      <c r="AE10" s="36" t="s">
        <v>5</v>
      </c>
      <c r="AF10" s="117">
        <f>SUM(B10:AC10)</f>
        <v>185</v>
      </c>
      <c r="AG10" s="110">
        <f t="shared" si="8"/>
        <v>6.6071428571428568</v>
      </c>
      <c r="AH10" s="118">
        <v>18</v>
      </c>
      <c r="AI10" s="142">
        <f t="shared" si="9"/>
        <v>3</v>
      </c>
      <c r="AJ10" s="119">
        <f t="shared" si="7"/>
        <v>-11.392857142857142</v>
      </c>
      <c r="AK10" s="111">
        <f t="shared" si="10"/>
        <v>185</v>
      </c>
      <c r="AL10" s="118">
        <v>136</v>
      </c>
      <c r="AM10" s="150">
        <f t="shared" si="11"/>
        <v>49</v>
      </c>
      <c r="AN10" s="134">
        <f>AK10+'Janvier 25'!AN10</f>
        <v>420</v>
      </c>
      <c r="AO10" s="118">
        <f>266+AL10</f>
        <v>402</v>
      </c>
      <c r="AP10" s="137">
        <f t="shared" si="4"/>
        <v>18</v>
      </c>
    </row>
    <row r="11" spans="1:42" ht="24" customHeight="1" thickBot="1" x14ac:dyDescent="0.4">
      <c r="A11" s="37" t="s">
        <v>7</v>
      </c>
      <c r="B11" s="38">
        <f t="shared" ref="B11:G11" si="12">AVERAGE(B8:B10)</f>
        <v>14.666666666666666</v>
      </c>
      <c r="C11" s="38">
        <f t="shared" si="12"/>
        <v>5</v>
      </c>
      <c r="D11" s="128">
        <f t="shared" si="12"/>
        <v>6.666666666666667</v>
      </c>
      <c r="E11" s="128">
        <f t="shared" si="12"/>
        <v>12.666666666666666</v>
      </c>
      <c r="F11" s="128">
        <f t="shared" si="12"/>
        <v>6.333333333333333</v>
      </c>
      <c r="G11" s="128">
        <f t="shared" si="12"/>
        <v>2.3333333333333335</v>
      </c>
      <c r="H11" s="128">
        <f t="shared" ref="H11" si="13">AVERAGE(H8:H10)</f>
        <v>7</v>
      </c>
      <c r="I11" s="128">
        <f t="shared" ref="I11:AC11" si="14">AVERAGE(I8:I10)</f>
        <v>28.666666666666668</v>
      </c>
      <c r="J11" s="128">
        <f t="shared" si="14"/>
        <v>25</v>
      </c>
      <c r="K11" s="128">
        <f t="shared" si="14"/>
        <v>56.333333333333336</v>
      </c>
      <c r="L11" s="128">
        <f t="shared" si="14"/>
        <v>3.6666666666666665</v>
      </c>
      <c r="M11" s="128">
        <f t="shared" si="14"/>
        <v>3.3333333333333335</v>
      </c>
      <c r="N11" s="128">
        <f t="shared" si="14"/>
        <v>0</v>
      </c>
      <c r="O11" s="128">
        <f t="shared" si="14"/>
        <v>0</v>
      </c>
      <c r="P11" s="128">
        <f t="shared" si="14"/>
        <v>0</v>
      </c>
      <c r="Q11" s="128">
        <f t="shared" si="14"/>
        <v>1.6666666666666667</v>
      </c>
      <c r="R11" s="128">
        <f t="shared" si="14"/>
        <v>3.6666666666666665</v>
      </c>
      <c r="S11" s="128">
        <f t="shared" si="14"/>
        <v>6</v>
      </c>
      <c r="T11" s="128">
        <f t="shared" si="14"/>
        <v>4.666666666666667</v>
      </c>
      <c r="U11" s="128">
        <f t="shared" si="14"/>
        <v>1.3333333333333333</v>
      </c>
      <c r="V11" s="128">
        <f t="shared" si="14"/>
        <v>0</v>
      </c>
      <c r="W11" s="128">
        <f t="shared" si="14"/>
        <v>14</v>
      </c>
      <c r="X11" s="128">
        <f t="shared" si="14"/>
        <v>6</v>
      </c>
      <c r="Y11" s="128">
        <f t="shared" si="14"/>
        <v>64.333333333333329</v>
      </c>
      <c r="Z11" s="128">
        <f t="shared" si="14"/>
        <v>15</v>
      </c>
      <c r="AA11" s="128">
        <f t="shared" si="14"/>
        <v>4</v>
      </c>
      <c r="AB11" s="128">
        <f t="shared" si="14"/>
        <v>10</v>
      </c>
      <c r="AC11" s="128">
        <f t="shared" si="14"/>
        <v>7</v>
      </c>
      <c r="AE11" s="37" t="s">
        <v>7</v>
      </c>
      <c r="AF11" s="123">
        <f>AVERAGE(AF8:AF10)</f>
        <v>309.33333333333331</v>
      </c>
      <c r="AG11" s="124">
        <f>AVERAGE(AG8:AG10)</f>
        <v>11.047619047619046</v>
      </c>
      <c r="AH11" s="125">
        <v>18</v>
      </c>
      <c r="AI11" s="126">
        <f>AC11-AH11</f>
        <v>-11</v>
      </c>
      <c r="AJ11" s="126">
        <f t="shared" si="7"/>
        <v>-6.9523809523809543</v>
      </c>
      <c r="AK11" s="125">
        <f>SUM(AK8:AK10)</f>
        <v>928</v>
      </c>
      <c r="AL11" s="125">
        <f>SUM(AL8:AL10)</f>
        <v>798</v>
      </c>
      <c r="AM11" s="145">
        <f>AK11-AL11</f>
        <v>130</v>
      </c>
      <c r="AN11" s="136">
        <f>SUM(AN8:AN10)</f>
        <v>3052</v>
      </c>
      <c r="AO11" s="125">
        <f>SUM(AO8:AO10)</f>
        <v>2188</v>
      </c>
      <c r="AP11" s="146">
        <f t="shared" si="4"/>
        <v>864</v>
      </c>
    </row>
    <row r="12" spans="1:42" ht="9.5" customHeight="1" thickTop="1" thickBot="1" x14ac:dyDescent="0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G12" s="4"/>
      <c r="AH12" s="7"/>
      <c r="AI12" s="16"/>
      <c r="AJ12" s="8"/>
      <c r="AK12" s="10"/>
      <c r="AN12" s="8"/>
      <c r="AP12" s="8"/>
    </row>
    <row r="13" spans="1:42" ht="59" customHeight="1" thickTop="1" thickBot="1" x14ac:dyDescent="0.4">
      <c r="A13" s="42" t="s">
        <v>18</v>
      </c>
      <c r="B13" s="43">
        <f t="shared" ref="B13:AC13" si="15">AVERAGE(B11,B7)</f>
        <v>15</v>
      </c>
      <c r="C13" s="43">
        <f t="shared" si="15"/>
        <v>3</v>
      </c>
      <c r="D13" s="43">
        <f t="shared" si="15"/>
        <v>7.8333333333333339</v>
      </c>
      <c r="E13" s="43">
        <f t="shared" si="15"/>
        <v>10</v>
      </c>
      <c r="F13" s="43">
        <f t="shared" si="15"/>
        <v>5</v>
      </c>
      <c r="G13" s="43">
        <f t="shared" si="15"/>
        <v>11.666666666666666</v>
      </c>
      <c r="H13" s="43">
        <f t="shared" si="15"/>
        <v>7.1666666666666661</v>
      </c>
      <c r="I13" s="43">
        <f t="shared" si="15"/>
        <v>19.833333333333336</v>
      </c>
      <c r="J13" s="43">
        <f t="shared" si="15"/>
        <v>44.916666666666664</v>
      </c>
      <c r="K13" s="43">
        <f t="shared" si="15"/>
        <v>33.666666666666671</v>
      </c>
      <c r="L13" s="43">
        <f t="shared" si="15"/>
        <v>11.166666666666668</v>
      </c>
      <c r="M13" s="43">
        <f t="shared" si="15"/>
        <v>4.166666666666667</v>
      </c>
      <c r="N13" s="43">
        <f t="shared" si="15"/>
        <v>3.6666666666666665</v>
      </c>
      <c r="O13" s="43">
        <f t="shared" si="15"/>
        <v>46.5</v>
      </c>
      <c r="P13" s="43">
        <f t="shared" si="15"/>
        <v>4.666666666666667</v>
      </c>
      <c r="Q13" s="43">
        <f t="shared" si="15"/>
        <v>5.1666666666666661</v>
      </c>
      <c r="R13" s="43">
        <f t="shared" si="15"/>
        <v>3.5</v>
      </c>
      <c r="S13" s="43">
        <f t="shared" si="15"/>
        <v>9</v>
      </c>
      <c r="T13" s="43">
        <f t="shared" si="15"/>
        <v>8.5</v>
      </c>
      <c r="U13" s="43">
        <f t="shared" si="15"/>
        <v>11.5</v>
      </c>
      <c r="V13" s="43">
        <f t="shared" si="15"/>
        <v>123.5</v>
      </c>
      <c r="W13" s="43">
        <f t="shared" si="15"/>
        <v>17.666666666666664</v>
      </c>
      <c r="X13" s="43">
        <f t="shared" si="15"/>
        <v>9</v>
      </c>
      <c r="Y13" s="43">
        <f t="shared" si="15"/>
        <v>50.5</v>
      </c>
      <c r="Z13" s="43">
        <f t="shared" si="15"/>
        <v>11.833333333333332</v>
      </c>
      <c r="AA13" s="43">
        <f t="shared" si="15"/>
        <v>10.666666666666666</v>
      </c>
      <c r="AB13" s="43">
        <f t="shared" si="15"/>
        <v>13.666666666666666</v>
      </c>
      <c r="AC13" s="43">
        <f t="shared" si="15"/>
        <v>10.333333333333332</v>
      </c>
      <c r="AE13" s="98" t="s">
        <v>8</v>
      </c>
      <c r="AF13" s="99">
        <f>AVERAGE(AF11,AF7)</f>
        <v>513.08333333333337</v>
      </c>
      <c r="AG13" s="99">
        <f>AVERAGE(AG11,AG7)</f>
        <v>18.324404761904763</v>
      </c>
      <c r="AH13" s="100">
        <v>18</v>
      </c>
      <c r="AI13" s="148">
        <f>AC13-AH13</f>
        <v>-7.6666666666666679</v>
      </c>
      <c r="AJ13" s="148">
        <f>AG13-AH13</f>
        <v>0.32440476190476275</v>
      </c>
      <c r="AK13" s="100">
        <f>SUM(AK11,AK7)</f>
        <v>3078.5</v>
      </c>
      <c r="AL13" s="101">
        <f>AL11+AL7</f>
        <v>2323</v>
      </c>
      <c r="AM13" s="143">
        <f>AK13-AL13</f>
        <v>755.5</v>
      </c>
      <c r="AN13" s="100">
        <f>SUM(AN11+AN7)</f>
        <v>8586.5</v>
      </c>
      <c r="AO13" s="101">
        <f>SUM(AO11+AO7)</f>
        <v>4628</v>
      </c>
      <c r="AP13" s="140">
        <f>AN13-AO13</f>
        <v>3958.5</v>
      </c>
    </row>
    <row r="14" spans="1:42" ht="15" thickTop="1" x14ac:dyDescent="0.35"/>
  </sheetData>
  <mergeCells count="1">
    <mergeCell ref="A1:AP1"/>
  </mergeCells>
  <printOptions horizontalCentered="1" verticalCentered="1"/>
  <pageMargins left="0" right="0" top="0" bottom="0" header="0" footer="0"/>
  <pageSetup paperSize="9" scale="9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4"/>
  <sheetViews>
    <sheetView topLeftCell="B1" zoomScale="80" zoomScaleNormal="80" workbookViewId="0">
      <selection activeCell="AI4" sqref="AI4:AI11"/>
    </sheetView>
  </sheetViews>
  <sheetFormatPr baseColWidth="10" defaultRowHeight="14.5" x14ac:dyDescent="0.35"/>
  <cols>
    <col min="1" max="1" width="8.7265625" customWidth="1"/>
    <col min="2" max="32" width="3.90625" customWidth="1"/>
    <col min="33" max="33" width="2.26953125" customWidth="1"/>
    <col min="34" max="34" width="6.1796875" customWidth="1"/>
    <col min="35" max="42" width="9.1796875" customWidth="1"/>
  </cols>
  <sheetData>
    <row r="1" spans="1:42" ht="23.5" x14ac:dyDescent="0.35">
      <c r="A1" s="201" t="s">
        <v>23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202"/>
      <c r="AL1" s="202"/>
      <c r="AM1" s="202"/>
      <c r="AN1" s="202"/>
      <c r="AO1" s="202"/>
      <c r="AP1" s="202"/>
    </row>
    <row r="2" spans="1:42" ht="9.5" customHeight="1" thickBot="1" x14ac:dyDescent="0.4"/>
    <row r="3" spans="1:42" ht="69.5" customHeight="1" thickTop="1" thickBot="1" x14ac:dyDescent="0.4">
      <c r="A3" s="1"/>
      <c r="B3" s="20">
        <v>45658</v>
      </c>
      <c r="C3" s="21">
        <v>45659</v>
      </c>
      <c r="D3" s="21">
        <v>45660</v>
      </c>
      <c r="E3" s="21">
        <v>45661</v>
      </c>
      <c r="F3" s="21">
        <v>45662</v>
      </c>
      <c r="G3" s="21">
        <v>45663</v>
      </c>
      <c r="H3" s="21">
        <v>45664</v>
      </c>
      <c r="I3" s="21">
        <v>45665</v>
      </c>
      <c r="J3" s="21">
        <v>45666</v>
      </c>
      <c r="K3" s="21">
        <v>45667</v>
      </c>
      <c r="L3" s="21">
        <v>45668</v>
      </c>
      <c r="M3" s="21">
        <v>45669</v>
      </c>
      <c r="N3" s="21">
        <v>45670</v>
      </c>
      <c r="O3" s="21">
        <v>45671</v>
      </c>
      <c r="P3" s="21">
        <v>45672</v>
      </c>
      <c r="Q3" s="21">
        <v>45673</v>
      </c>
      <c r="R3" s="21">
        <v>45674</v>
      </c>
      <c r="S3" s="21">
        <v>45675</v>
      </c>
      <c r="T3" s="21">
        <v>45676</v>
      </c>
      <c r="U3" s="21">
        <v>45677</v>
      </c>
      <c r="V3" s="21">
        <v>45678</v>
      </c>
      <c r="W3" s="21">
        <v>45679</v>
      </c>
      <c r="X3" s="21">
        <v>45680</v>
      </c>
      <c r="Y3" s="21">
        <v>45681</v>
      </c>
      <c r="Z3" s="21">
        <v>45682</v>
      </c>
      <c r="AA3" s="21">
        <v>45683</v>
      </c>
      <c r="AB3" s="21">
        <v>45684</v>
      </c>
      <c r="AC3" s="21">
        <v>45685</v>
      </c>
      <c r="AD3" s="21">
        <v>45686</v>
      </c>
      <c r="AE3" s="21">
        <v>45687</v>
      </c>
      <c r="AF3" s="22">
        <v>45688</v>
      </c>
      <c r="AG3" s="3"/>
      <c r="AI3" s="72" t="s">
        <v>9</v>
      </c>
      <c r="AJ3" s="73" t="s">
        <v>10</v>
      </c>
      <c r="AK3" s="74" t="s">
        <v>17</v>
      </c>
      <c r="AL3" s="75" t="s">
        <v>11</v>
      </c>
      <c r="AM3" s="76" t="s">
        <v>12</v>
      </c>
      <c r="AN3" s="77" t="s">
        <v>14</v>
      </c>
      <c r="AO3" s="78" t="s">
        <v>15</v>
      </c>
      <c r="AP3" s="79" t="s">
        <v>16</v>
      </c>
    </row>
    <row r="4" spans="1:42" ht="24" customHeight="1" thickTop="1" thickBot="1" x14ac:dyDescent="0.4">
      <c r="A4" s="23" t="s">
        <v>0</v>
      </c>
      <c r="B4" s="24">
        <v>12</v>
      </c>
      <c r="C4" s="25">
        <v>13</v>
      </c>
      <c r="D4" s="26">
        <v>8</v>
      </c>
      <c r="E4" s="26">
        <v>33</v>
      </c>
      <c r="F4" s="26">
        <v>8</v>
      </c>
      <c r="G4" s="26">
        <v>26</v>
      </c>
      <c r="H4" s="26">
        <v>24</v>
      </c>
      <c r="I4" s="26">
        <v>32</v>
      </c>
      <c r="J4" s="26">
        <v>14</v>
      </c>
      <c r="K4" s="26">
        <v>12</v>
      </c>
      <c r="L4" s="26">
        <v>9</v>
      </c>
      <c r="M4" s="26">
        <v>4</v>
      </c>
      <c r="N4" s="26">
        <v>9</v>
      </c>
      <c r="O4" s="26">
        <v>11</v>
      </c>
      <c r="P4" s="26">
        <v>16</v>
      </c>
      <c r="Q4" s="26">
        <v>10</v>
      </c>
      <c r="R4" s="26">
        <v>23</v>
      </c>
      <c r="S4" s="26">
        <v>38</v>
      </c>
      <c r="T4" s="26">
        <v>8</v>
      </c>
      <c r="U4" s="26">
        <v>51</v>
      </c>
      <c r="V4" s="26">
        <v>60</v>
      </c>
      <c r="W4" s="26">
        <v>16</v>
      </c>
      <c r="X4" s="26">
        <v>9</v>
      </c>
      <c r="Y4" s="26">
        <v>63</v>
      </c>
      <c r="Z4" s="26">
        <v>8</v>
      </c>
      <c r="AA4" s="26">
        <v>8</v>
      </c>
      <c r="AB4" s="26">
        <v>15</v>
      </c>
      <c r="AC4" s="26">
        <v>4</v>
      </c>
      <c r="AD4" s="25">
        <v>34</v>
      </c>
      <c r="AE4" s="50">
        <v>6</v>
      </c>
      <c r="AF4" s="93">
        <v>14</v>
      </c>
      <c r="AH4" s="23" t="s">
        <v>0</v>
      </c>
      <c r="AI4" s="80">
        <f>SUM(B4:AF4)</f>
        <v>598</v>
      </c>
      <c r="AJ4" s="47">
        <f>AVERAGE(B4:AC4)</f>
        <v>19.428571428571427</v>
      </c>
      <c r="AK4" s="25">
        <v>18</v>
      </c>
      <c r="AL4" s="48">
        <f>AC4-AK4</f>
        <v>-14</v>
      </c>
      <c r="AM4" s="49">
        <f>AJ4-AK4</f>
        <v>1.428571428571427</v>
      </c>
      <c r="AN4" s="25">
        <v>598</v>
      </c>
      <c r="AO4" s="50">
        <v>364</v>
      </c>
      <c r="AP4" s="51">
        <f>AN4-AO4</f>
        <v>234</v>
      </c>
    </row>
    <row r="5" spans="1:42" ht="24" customHeight="1" thickBot="1" x14ac:dyDescent="0.4">
      <c r="A5" s="27" t="s">
        <v>1</v>
      </c>
      <c r="B5" s="17">
        <v>15</v>
      </c>
      <c r="C5" s="5">
        <v>6</v>
      </c>
      <c r="D5" s="6">
        <v>93</v>
      </c>
      <c r="E5" s="6">
        <v>13</v>
      </c>
      <c r="F5" s="6">
        <v>0</v>
      </c>
      <c r="G5" s="6">
        <v>13</v>
      </c>
      <c r="H5" s="6">
        <v>10</v>
      </c>
      <c r="I5" s="6">
        <v>13</v>
      </c>
      <c r="J5" s="6">
        <v>0</v>
      </c>
      <c r="K5" s="6">
        <v>3</v>
      </c>
      <c r="L5" s="6">
        <v>45</v>
      </c>
      <c r="M5" s="6">
        <v>30</v>
      </c>
      <c r="N5" s="6">
        <v>8</v>
      </c>
      <c r="O5" s="6">
        <v>28</v>
      </c>
      <c r="P5" s="6">
        <v>8</v>
      </c>
      <c r="Q5" s="6">
        <v>2</v>
      </c>
      <c r="R5" s="6">
        <v>121</v>
      </c>
      <c r="S5" s="6">
        <v>5</v>
      </c>
      <c r="T5" s="6">
        <v>0</v>
      </c>
      <c r="U5" s="6">
        <v>2</v>
      </c>
      <c r="V5" s="6">
        <v>453</v>
      </c>
      <c r="W5" s="6">
        <v>790</v>
      </c>
      <c r="X5" s="6">
        <v>3</v>
      </c>
      <c r="Y5" s="6">
        <v>240</v>
      </c>
      <c r="Z5" s="6">
        <v>8</v>
      </c>
      <c r="AA5" s="6">
        <v>23</v>
      </c>
      <c r="AB5" s="6">
        <v>38</v>
      </c>
      <c r="AC5" s="6">
        <v>18</v>
      </c>
      <c r="AD5" s="5">
        <v>74</v>
      </c>
      <c r="AE5" s="13">
        <v>9</v>
      </c>
      <c r="AF5" s="94">
        <v>7</v>
      </c>
      <c r="AH5" s="27" t="s">
        <v>1</v>
      </c>
      <c r="AI5" s="81">
        <f>SUM(B5:AF5)</f>
        <v>2078</v>
      </c>
      <c r="AJ5" s="9">
        <f>AVERAGE(B5:AC5)</f>
        <v>71</v>
      </c>
      <c r="AK5" s="5">
        <v>18</v>
      </c>
      <c r="AL5" s="14">
        <f t="shared" ref="AL5:AL6" si="0">AC5-AK5</f>
        <v>0</v>
      </c>
      <c r="AM5" s="11">
        <f>AJ5-AK5</f>
        <v>53</v>
      </c>
      <c r="AN5" s="5">
        <v>2078</v>
      </c>
      <c r="AO5" s="13">
        <v>427</v>
      </c>
      <c r="AP5" s="52">
        <f t="shared" ref="AP5:AP6" si="1">AN5-AO5</f>
        <v>1651</v>
      </c>
    </row>
    <row r="6" spans="1:42" ht="24" customHeight="1" thickBot="1" x14ac:dyDescent="0.4">
      <c r="A6" s="27" t="s">
        <v>2</v>
      </c>
      <c r="B6" s="17">
        <v>2</v>
      </c>
      <c r="C6" s="5">
        <v>3</v>
      </c>
      <c r="D6" s="6">
        <v>7</v>
      </c>
      <c r="E6" s="6">
        <v>13</v>
      </c>
      <c r="F6" s="6">
        <v>18</v>
      </c>
      <c r="G6" s="6">
        <v>17</v>
      </c>
      <c r="H6" s="6">
        <v>13</v>
      </c>
      <c r="I6" s="6">
        <v>14</v>
      </c>
      <c r="J6" s="6">
        <v>14</v>
      </c>
      <c r="K6" s="6">
        <v>45</v>
      </c>
      <c r="L6" s="6">
        <v>35</v>
      </c>
      <c r="M6" s="6">
        <v>35</v>
      </c>
      <c r="N6" s="6">
        <v>0</v>
      </c>
      <c r="O6" s="6">
        <v>4</v>
      </c>
      <c r="P6" s="6">
        <v>21</v>
      </c>
      <c r="Q6" s="6">
        <v>12</v>
      </c>
      <c r="R6" s="6">
        <v>30</v>
      </c>
      <c r="S6" s="6">
        <v>32</v>
      </c>
      <c r="T6" s="6">
        <v>9</v>
      </c>
      <c r="U6" s="6">
        <v>20</v>
      </c>
      <c r="V6" s="6">
        <v>4</v>
      </c>
      <c r="W6" s="6">
        <v>14</v>
      </c>
      <c r="X6" s="6">
        <v>14</v>
      </c>
      <c r="Y6" s="6">
        <v>37</v>
      </c>
      <c r="Z6" s="6">
        <v>5</v>
      </c>
      <c r="AA6" s="6">
        <v>4</v>
      </c>
      <c r="AB6" s="6">
        <v>0</v>
      </c>
      <c r="AC6" s="6">
        <v>11</v>
      </c>
      <c r="AD6" s="5">
        <v>6</v>
      </c>
      <c r="AE6" s="13">
        <v>7</v>
      </c>
      <c r="AF6" s="94">
        <v>262</v>
      </c>
      <c r="AH6" s="27" t="s">
        <v>2</v>
      </c>
      <c r="AI6" s="82">
        <f>SUM(B6:AF6)</f>
        <v>708</v>
      </c>
      <c r="AJ6" s="9">
        <f t="shared" ref="AJ6" si="2">AVERAGE(B6:AC6)</f>
        <v>15.464285714285714</v>
      </c>
      <c r="AK6" s="5">
        <v>18</v>
      </c>
      <c r="AL6" s="14">
        <f t="shared" si="0"/>
        <v>-7</v>
      </c>
      <c r="AM6" s="12">
        <f>AJ6-AK6</f>
        <v>-2.5357142857142865</v>
      </c>
      <c r="AN6" s="5">
        <v>708</v>
      </c>
      <c r="AO6" s="13">
        <v>87</v>
      </c>
      <c r="AP6" s="52">
        <f t="shared" si="1"/>
        <v>621</v>
      </c>
    </row>
    <row r="7" spans="1:42" ht="29" customHeight="1" thickBot="1" x14ac:dyDescent="0.4">
      <c r="A7" s="28" t="s">
        <v>13</v>
      </c>
      <c r="B7" s="29">
        <f>AVERAGE(B4:B6)</f>
        <v>9.6666666666666661</v>
      </c>
      <c r="C7" s="30">
        <f t="shared" ref="C7:M7" si="3">AVERAGE(C4:C6)</f>
        <v>7.333333333333333</v>
      </c>
      <c r="D7" s="30">
        <f t="shared" si="3"/>
        <v>36</v>
      </c>
      <c r="E7" s="30">
        <f t="shared" si="3"/>
        <v>19.666666666666668</v>
      </c>
      <c r="F7" s="30">
        <f t="shared" si="3"/>
        <v>8.6666666666666661</v>
      </c>
      <c r="G7" s="30">
        <f t="shared" si="3"/>
        <v>18.666666666666668</v>
      </c>
      <c r="H7" s="30">
        <f t="shared" si="3"/>
        <v>15.666666666666666</v>
      </c>
      <c r="I7" s="30">
        <f t="shared" si="3"/>
        <v>19.666666666666668</v>
      </c>
      <c r="J7" s="30">
        <f t="shared" si="3"/>
        <v>9.3333333333333339</v>
      </c>
      <c r="K7" s="30">
        <f t="shared" si="3"/>
        <v>20</v>
      </c>
      <c r="L7" s="30">
        <f t="shared" si="3"/>
        <v>29.666666666666668</v>
      </c>
      <c r="M7" s="30">
        <f t="shared" si="3"/>
        <v>23</v>
      </c>
      <c r="N7" s="31">
        <f t="shared" ref="N7:AF7" si="4">SUM(N4:N6)</f>
        <v>17</v>
      </c>
      <c r="O7" s="31">
        <f>SUM(O4:O6)</f>
        <v>43</v>
      </c>
      <c r="P7" s="31">
        <f>AVERAGE(P4:P6)</f>
        <v>15</v>
      </c>
      <c r="Q7" s="31">
        <f t="shared" ref="Q7:AC7" si="5">AVERAGE(Q4:Q6)</f>
        <v>8</v>
      </c>
      <c r="R7" s="31">
        <f t="shared" si="5"/>
        <v>58</v>
      </c>
      <c r="S7" s="31">
        <f t="shared" si="5"/>
        <v>25</v>
      </c>
      <c r="T7" s="31">
        <f t="shared" si="5"/>
        <v>5.666666666666667</v>
      </c>
      <c r="U7" s="31">
        <f t="shared" si="5"/>
        <v>24.333333333333332</v>
      </c>
      <c r="V7" s="31">
        <f t="shared" si="5"/>
        <v>172.33333333333334</v>
      </c>
      <c r="W7" s="31">
        <f t="shared" si="5"/>
        <v>273.33333333333331</v>
      </c>
      <c r="X7" s="31">
        <f t="shared" si="5"/>
        <v>8.6666666666666661</v>
      </c>
      <c r="Y7" s="31">
        <f t="shared" si="5"/>
        <v>113.33333333333333</v>
      </c>
      <c r="Z7" s="31">
        <f t="shared" si="5"/>
        <v>7</v>
      </c>
      <c r="AA7" s="31">
        <f t="shared" si="5"/>
        <v>11.666666666666666</v>
      </c>
      <c r="AB7" s="31">
        <f t="shared" si="5"/>
        <v>17.666666666666668</v>
      </c>
      <c r="AC7" s="31">
        <f t="shared" si="5"/>
        <v>11</v>
      </c>
      <c r="AD7" s="31">
        <f t="shared" si="4"/>
        <v>114</v>
      </c>
      <c r="AE7" s="31">
        <f t="shared" si="4"/>
        <v>22</v>
      </c>
      <c r="AF7" s="32">
        <f t="shared" si="4"/>
        <v>283</v>
      </c>
      <c r="AH7" s="70" t="s">
        <v>6</v>
      </c>
      <c r="AI7" s="83">
        <f>AVERAGE(AI4:AI6)</f>
        <v>1128</v>
      </c>
      <c r="AJ7" s="66">
        <f>AVERAGE(AJ4:AJ6)</f>
        <v>35.297619047619044</v>
      </c>
      <c r="AK7" s="67">
        <v>18</v>
      </c>
      <c r="AL7" s="68">
        <f>AC7-AK7</f>
        <v>-7</v>
      </c>
      <c r="AM7" s="69">
        <f t="shared" ref="AM7:AM11" si="6">AJ7-AK7</f>
        <v>17.297619047619044</v>
      </c>
      <c r="AN7" s="67">
        <f>SUM(AN4:AN6)</f>
        <v>3384</v>
      </c>
      <c r="AO7" s="67">
        <f>SUM(AO4:AO6)</f>
        <v>878</v>
      </c>
      <c r="AP7" s="92">
        <f>AN7-AO7</f>
        <v>2506</v>
      </c>
    </row>
    <row r="8" spans="1:42" ht="24" customHeight="1" thickTop="1" thickBot="1" x14ac:dyDescent="0.4">
      <c r="A8" s="33" t="s">
        <v>3</v>
      </c>
      <c r="B8" s="34"/>
      <c r="C8" s="35"/>
      <c r="D8" s="35"/>
      <c r="E8" s="35"/>
      <c r="F8" s="35"/>
      <c r="G8" s="35"/>
      <c r="H8" s="35"/>
      <c r="I8" s="35"/>
      <c r="J8" s="26">
        <v>36</v>
      </c>
      <c r="K8" s="26">
        <v>22</v>
      </c>
      <c r="L8" s="26">
        <v>114</v>
      </c>
      <c r="M8" s="26">
        <v>12</v>
      </c>
      <c r="N8" s="26">
        <v>60</v>
      </c>
      <c r="O8" s="26">
        <v>19</v>
      </c>
      <c r="P8" s="26">
        <v>10</v>
      </c>
      <c r="Q8" s="26">
        <v>10</v>
      </c>
      <c r="R8" s="26">
        <v>0</v>
      </c>
      <c r="S8" s="26">
        <v>0</v>
      </c>
      <c r="T8" s="26">
        <v>8</v>
      </c>
      <c r="U8" s="26">
        <v>32</v>
      </c>
      <c r="V8" s="26">
        <v>0</v>
      </c>
      <c r="W8" s="26">
        <v>15</v>
      </c>
      <c r="X8" s="26">
        <v>13</v>
      </c>
      <c r="Y8" s="26">
        <v>50</v>
      </c>
      <c r="Z8" s="26">
        <v>13</v>
      </c>
      <c r="AA8" s="26">
        <v>23</v>
      </c>
      <c r="AB8" s="26">
        <v>4</v>
      </c>
      <c r="AC8" s="26">
        <v>13</v>
      </c>
      <c r="AD8" s="25">
        <v>18</v>
      </c>
      <c r="AE8" s="50">
        <v>0</v>
      </c>
      <c r="AF8" s="93">
        <v>0</v>
      </c>
      <c r="AH8" s="71" t="s">
        <v>3</v>
      </c>
      <c r="AI8" s="81">
        <f>SUM(B8:AF8)</f>
        <v>472</v>
      </c>
      <c r="AJ8" s="60">
        <f>AVERAGE(J8:AC8)</f>
        <v>22.7</v>
      </c>
      <c r="AK8" s="61">
        <v>18</v>
      </c>
      <c r="AL8" s="62">
        <f>AC8-AK8</f>
        <v>-5</v>
      </c>
      <c r="AM8" s="63">
        <f>AJ8-AK8</f>
        <v>4.6999999999999993</v>
      </c>
      <c r="AN8" s="61">
        <v>472</v>
      </c>
      <c r="AO8" s="64">
        <v>244</v>
      </c>
      <c r="AP8" s="65">
        <f>AN8-AO8</f>
        <v>228</v>
      </c>
    </row>
    <row r="9" spans="1:42" ht="24" customHeight="1" thickBot="1" x14ac:dyDescent="0.4">
      <c r="A9" s="36" t="s">
        <v>4</v>
      </c>
      <c r="B9" s="18"/>
      <c r="C9" s="2"/>
      <c r="D9" s="2"/>
      <c r="E9" s="2"/>
      <c r="F9" s="2"/>
      <c r="G9" s="2"/>
      <c r="H9" s="2"/>
      <c r="I9" s="2"/>
      <c r="J9" s="6">
        <v>10</v>
      </c>
      <c r="K9" s="6">
        <v>25</v>
      </c>
      <c r="L9" s="6">
        <v>294</v>
      </c>
      <c r="M9" s="6">
        <v>13</v>
      </c>
      <c r="N9" s="6">
        <v>36</v>
      </c>
      <c r="O9" s="6">
        <v>3</v>
      </c>
      <c r="P9" s="6">
        <v>39</v>
      </c>
      <c r="Q9" s="6">
        <v>30</v>
      </c>
      <c r="R9" s="6">
        <v>7</v>
      </c>
      <c r="S9" s="6">
        <v>0</v>
      </c>
      <c r="T9" s="6">
        <v>0</v>
      </c>
      <c r="U9" s="6">
        <v>0</v>
      </c>
      <c r="V9" s="6">
        <v>0</v>
      </c>
      <c r="W9" s="6">
        <v>10</v>
      </c>
      <c r="X9" s="6">
        <v>53</v>
      </c>
      <c r="Y9" s="6">
        <v>183</v>
      </c>
      <c r="Z9" s="6">
        <v>26</v>
      </c>
      <c r="AA9" s="6">
        <v>45</v>
      </c>
      <c r="AB9" s="6">
        <v>3</v>
      </c>
      <c r="AC9" s="6">
        <v>0</v>
      </c>
      <c r="AD9" s="5">
        <v>170</v>
      </c>
      <c r="AE9" s="13">
        <v>17</v>
      </c>
      <c r="AF9" s="94">
        <v>453</v>
      </c>
      <c r="AH9" s="36" t="s">
        <v>4</v>
      </c>
      <c r="AI9" s="82">
        <f>SUM(B9:AF9)</f>
        <v>1417</v>
      </c>
      <c r="AJ9" s="9">
        <f t="shared" ref="AJ9:AJ10" si="7">AVERAGE(J9:AC9)</f>
        <v>38.85</v>
      </c>
      <c r="AK9" s="5">
        <v>18</v>
      </c>
      <c r="AL9" s="15">
        <f t="shared" ref="AL9:AL10" si="8">AC9-AK9</f>
        <v>-18</v>
      </c>
      <c r="AM9" s="11">
        <f t="shared" si="6"/>
        <v>20.85</v>
      </c>
      <c r="AN9" s="5">
        <v>1417</v>
      </c>
      <c r="AO9" s="13">
        <v>733</v>
      </c>
      <c r="AP9" s="52">
        <f t="shared" ref="AP9:AP10" si="9">AN9-AO9</f>
        <v>684</v>
      </c>
    </row>
    <row r="10" spans="1:42" ht="24" customHeight="1" thickBot="1" x14ac:dyDescent="0.4">
      <c r="A10" s="36" t="s">
        <v>5</v>
      </c>
      <c r="B10" s="19"/>
      <c r="C10" s="2"/>
      <c r="D10" s="2"/>
      <c r="E10" s="2"/>
      <c r="F10" s="2"/>
      <c r="G10" s="2"/>
      <c r="H10" s="2"/>
      <c r="I10" s="2"/>
      <c r="J10" s="6">
        <v>0</v>
      </c>
      <c r="K10" s="6">
        <v>8</v>
      </c>
      <c r="L10" s="6">
        <v>0</v>
      </c>
      <c r="M10" s="6">
        <v>0</v>
      </c>
      <c r="N10" s="6">
        <v>3</v>
      </c>
      <c r="O10" s="6">
        <v>17</v>
      </c>
      <c r="P10" s="6">
        <v>43</v>
      </c>
      <c r="Q10" s="6">
        <v>23</v>
      </c>
      <c r="R10" s="6">
        <v>0</v>
      </c>
      <c r="S10" s="6">
        <v>4</v>
      </c>
      <c r="T10" s="6">
        <v>0</v>
      </c>
      <c r="U10" s="6">
        <v>4</v>
      </c>
      <c r="V10" s="6">
        <v>3</v>
      </c>
      <c r="W10" s="6">
        <v>2</v>
      </c>
      <c r="X10" s="6">
        <v>4</v>
      </c>
      <c r="Y10" s="6">
        <v>38</v>
      </c>
      <c r="Z10" s="6">
        <v>19</v>
      </c>
      <c r="AA10" s="6">
        <v>14</v>
      </c>
      <c r="AB10" s="6">
        <v>0</v>
      </c>
      <c r="AC10" s="6">
        <v>14</v>
      </c>
      <c r="AD10" s="5">
        <v>33</v>
      </c>
      <c r="AE10" s="13">
        <v>0</v>
      </c>
      <c r="AF10" s="94">
        <v>6</v>
      </c>
      <c r="AH10" s="36" t="s">
        <v>5</v>
      </c>
      <c r="AI10" s="82">
        <f>SUM(B10:AF10)</f>
        <v>235</v>
      </c>
      <c r="AJ10" s="9">
        <f t="shared" si="7"/>
        <v>9.8000000000000007</v>
      </c>
      <c r="AK10" s="5">
        <v>18</v>
      </c>
      <c r="AL10" s="15">
        <f t="shared" si="8"/>
        <v>-4</v>
      </c>
      <c r="AM10" s="12">
        <f t="shared" si="6"/>
        <v>-8.1999999999999993</v>
      </c>
      <c r="AN10" s="5">
        <v>235</v>
      </c>
      <c r="AO10" s="13">
        <v>256</v>
      </c>
      <c r="AP10" s="53">
        <f t="shared" si="9"/>
        <v>-21</v>
      </c>
    </row>
    <row r="11" spans="1:42" ht="24" customHeight="1" thickBot="1" x14ac:dyDescent="0.4">
      <c r="A11" s="37" t="s">
        <v>7</v>
      </c>
      <c r="B11" s="38"/>
      <c r="C11" s="39"/>
      <c r="D11" s="39"/>
      <c r="E11" s="39"/>
      <c r="F11" s="39"/>
      <c r="G11" s="39"/>
      <c r="H11" s="39"/>
      <c r="I11" s="39"/>
      <c r="J11" s="39">
        <f t="shared" ref="J11:N11" si="10">AVERAGE(J8:J10)</f>
        <v>15.333333333333334</v>
      </c>
      <c r="K11" s="39">
        <f t="shared" si="10"/>
        <v>18.333333333333332</v>
      </c>
      <c r="L11" s="39">
        <f t="shared" si="10"/>
        <v>136</v>
      </c>
      <c r="M11" s="39">
        <f t="shared" si="10"/>
        <v>8.3333333333333339</v>
      </c>
      <c r="N11" s="39">
        <f t="shared" si="10"/>
        <v>33</v>
      </c>
      <c r="O11" s="39">
        <f>AVERAGE(O8:O10)</f>
        <v>13</v>
      </c>
      <c r="P11" s="39">
        <f>AVERAGE(P8:P10)</f>
        <v>30.666666666666668</v>
      </c>
      <c r="Q11" s="39">
        <f>AVERAGE(Q8:Q10)</f>
        <v>21</v>
      </c>
      <c r="R11" s="39">
        <f t="shared" ref="R11:AC11" si="11">AVERAGE(R8:R10)</f>
        <v>2.3333333333333335</v>
      </c>
      <c r="S11" s="39">
        <f t="shared" si="11"/>
        <v>1.3333333333333333</v>
      </c>
      <c r="T11" s="39">
        <f t="shared" si="11"/>
        <v>2.6666666666666665</v>
      </c>
      <c r="U11" s="39">
        <f t="shared" si="11"/>
        <v>12</v>
      </c>
      <c r="V11" s="39">
        <f t="shared" si="11"/>
        <v>1</v>
      </c>
      <c r="W11" s="39">
        <f t="shared" si="11"/>
        <v>9</v>
      </c>
      <c r="X11" s="39">
        <f t="shared" si="11"/>
        <v>23.333333333333332</v>
      </c>
      <c r="Y11" s="39">
        <f t="shared" si="11"/>
        <v>90.333333333333329</v>
      </c>
      <c r="Z11" s="39">
        <f t="shared" si="11"/>
        <v>19.333333333333332</v>
      </c>
      <c r="AA11" s="39">
        <f t="shared" si="11"/>
        <v>27.333333333333332</v>
      </c>
      <c r="AB11" s="39">
        <f t="shared" si="11"/>
        <v>2.3333333333333335</v>
      </c>
      <c r="AC11" s="39">
        <f t="shared" si="11"/>
        <v>9</v>
      </c>
      <c r="AD11" s="40">
        <f t="shared" ref="AD11:AF11" si="12">SUM(AD8:AD10)</f>
        <v>221</v>
      </c>
      <c r="AE11" s="40">
        <f t="shared" si="12"/>
        <v>17</v>
      </c>
      <c r="AF11" s="41">
        <f t="shared" si="12"/>
        <v>459</v>
      </c>
      <c r="AH11" s="37" t="s">
        <v>7</v>
      </c>
      <c r="AI11" s="84">
        <f>AVERAGE(AI8:AI10)</f>
        <v>708</v>
      </c>
      <c r="AJ11" s="54">
        <f>AVERAGE(AJ8:AJ10)</f>
        <v>23.783333333333331</v>
      </c>
      <c r="AK11" s="55">
        <v>18</v>
      </c>
      <c r="AL11" s="56">
        <f>AC11-AK11</f>
        <v>-9</v>
      </c>
      <c r="AM11" s="57">
        <f t="shared" si="6"/>
        <v>5.7833333333333314</v>
      </c>
      <c r="AN11" s="55">
        <f>SUM(AN8:AN10)</f>
        <v>2124</v>
      </c>
      <c r="AO11" s="58">
        <f>SUM(AO8:AO10)</f>
        <v>1233</v>
      </c>
      <c r="AP11" s="59">
        <f>AN11-AO11</f>
        <v>891</v>
      </c>
    </row>
    <row r="12" spans="1:42" ht="9.5" customHeight="1" thickTop="1" thickBot="1" x14ac:dyDescent="0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J12" s="4"/>
      <c r="AK12" s="7"/>
      <c r="AL12" s="16"/>
      <c r="AM12" s="8"/>
      <c r="AN12" s="10"/>
    </row>
    <row r="13" spans="1:42" ht="59" customHeight="1" thickTop="1" thickBot="1" x14ac:dyDescent="0.4">
      <c r="A13" s="42" t="s">
        <v>8</v>
      </c>
      <c r="B13" s="43">
        <f t="shared" ref="B13:I13" si="13">B7</f>
        <v>9.6666666666666661</v>
      </c>
      <c r="C13" s="44">
        <f t="shared" si="13"/>
        <v>7.333333333333333</v>
      </c>
      <c r="D13" s="44">
        <f t="shared" si="13"/>
        <v>36</v>
      </c>
      <c r="E13" s="44">
        <f t="shared" si="13"/>
        <v>19.666666666666668</v>
      </c>
      <c r="F13" s="44">
        <f t="shared" si="13"/>
        <v>8.6666666666666661</v>
      </c>
      <c r="G13" s="44">
        <f t="shared" si="13"/>
        <v>18.666666666666668</v>
      </c>
      <c r="H13" s="44">
        <f t="shared" si="13"/>
        <v>15.666666666666666</v>
      </c>
      <c r="I13" s="44">
        <f t="shared" si="13"/>
        <v>19.666666666666668</v>
      </c>
      <c r="J13" s="44">
        <f t="shared" ref="J13:AC13" si="14">AVERAGE(J11,J7)</f>
        <v>12.333333333333334</v>
      </c>
      <c r="K13" s="44">
        <f t="shared" si="14"/>
        <v>19.166666666666664</v>
      </c>
      <c r="L13" s="44">
        <f t="shared" si="14"/>
        <v>82.833333333333329</v>
      </c>
      <c r="M13" s="44">
        <f t="shared" si="14"/>
        <v>15.666666666666668</v>
      </c>
      <c r="N13" s="44">
        <f t="shared" si="14"/>
        <v>25</v>
      </c>
      <c r="O13" s="44">
        <f t="shared" si="14"/>
        <v>28</v>
      </c>
      <c r="P13" s="44">
        <f t="shared" si="14"/>
        <v>22.833333333333336</v>
      </c>
      <c r="Q13" s="44">
        <f t="shared" si="14"/>
        <v>14.5</v>
      </c>
      <c r="R13" s="44">
        <f t="shared" si="14"/>
        <v>30.166666666666668</v>
      </c>
      <c r="S13" s="44">
        <f t="shared" si="14"/>
        <v>13.166666666666666</v>
      </c>
      <c r="T13" s="44">
        <f t="shared" si="14"/>
        <v>4.166666666666667</v>
      </c>
      <c r="U13" s="44">
        <f t="shared" si="14"/>
        <v>18.166666666666664</v>
      </c>
      <c r="V13" s="44">
        <f t="shared" si="14"/>
        <v>86.666666666666671</v>
      </c>
      <c r="W13" s="44">
        <f t="shared" si="14"/>
        <v>141.16666666666666</v>
      </c>
      <c r="X13" s="44">
        <f t="shared" si="14"/>
        <v>16</v>
      </c>
      <c r="Y13" s="44">
        <f t="shared" si="14"/>
        <v>101.83333333333333</v>
      </c>
      <c r="Z13" s="44">
        <f t="shared" si="14"/>
        <v>13.166666666666666</v>
      </c>
      <c r="AA13" s="44">
        <f t="shared" si="14"/>
        <v>19.5</v>
      </c>
      <c r="AB13" s="44">
        <f t="shared" si="14"/>
        <v>10</v>
      </c>
      <c r="AC13" s="44">
        <f t="shared" si="14"/>
        <v>10</v>
      </c>
      <c r="AD13" s="45">
        <f t="shared" ref="AD13:AF13" si="15">+AD7+AD11</f>
        <v>335</v>
      </c>
      <c r="AE13" s="45">
        <f t="shared" si="15"/>
        <v>39</v>
      </c>
      <c r="AF13" s="46">
        <f t="shared" si="15"/>
        <v>742</v>
      </c>
      <c r="AH13" s="85" t="s">
        <v>8</v>
      </c>
      <c r="AI13" s="86">
        <f>AVERAGE(AI11,AI7)</f>
        <v>918</v>
      </c>
      <c r="AJ13" s="86">
        <f>AVERAGE(AJ11,AJ7)</f>
        <v>29.540476190476188</v>
      </c>
      <c r="AK13" s="87">
        <v>18</v>
      </c>
      <c r="AL13" s="88">
        <f>AC13-AK13</f>
        <v>-8</v>
      </c>
      <c r="AM13" s="89">
        <f>AJ13-AK13</f>
        <v>11.540476190476188</v>
      </c>
      <c r="AN13" s="90">
        <f>SUM(AN11,AN7)</f>
        <v>5508</v>
      </c>
      <c r="AO13" s="90">
        <f>AO11+AO7</f>
        <v>2111</v>
      </c>
      <c r="AP13" s="91">
        <f>AN13-AO13</f>
        <v>3397</v>
      </c>
    </row>
    <row r="14" spans="1:42" ht="15" thickTop="1" x14ac:dyDescent="0.35"/>
  </sheetData>
  <mergeCells count="1">
    <mergeCell ref="A1:AP1"/>
  </mergeCells>
  <printOptions horizontalCentered="1" verticalCentered="1"/>
  <pageMargins left="0" right="0" top="0" bottom="0" header="0" footer="0"/>
  <pageSetup paperSize="9" scale="9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Septembre 25</vt:lpstr>
      <vt:lpstr>Aout 25</vt:lpstr>
      <vt:lpstr>Juillet 25  </vt:lpstr>
      <vt:lpstr>Juin 25 </vt:lpstr>
      <vt:lpstr>Mai 25</vt:lpstr>
      <vt:lpstr>Avril 25 </vt:lpstr>
      <vt:lpstr>Mars 25</vt:lpstr>
      <vt:lpstr>Février 25</vt:lpstr>
      <vt:lpstr>Janvier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Achraf LAGHZAL</dc:creator>
  <cp:lastModifiedBy>acer</cp:lastModifiedBy>
  <cp:lastPrinted>2023-09-06T11:23:53Z</cp:lastPrinted>
  <dcterms:created xsi:type="dcterms:W3CDTF">2023-09-06T09:46:23Z</dcterms:created>
  <dcterms:modified xsi:type="dcterms:W3CDTF">2026-09-19T13:39:04Z</dcterms:modified>
</cp:coreProperties>
</file>